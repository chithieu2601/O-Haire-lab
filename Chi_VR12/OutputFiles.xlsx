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Box\Chi_VR12\"/>
    </mc:Choice>
  </mc:AlternateContent>
  <xr:revisionPtr revIDLastSave="0" documentId="8_{5A75E849-CB2E-4D6E-8363-CE8EE8C42921}" xr6:coauthVersionLast="47" xr6:coauthVersionMax="47" xr10:uidLastSave="{00000000-0000-0000-0000-000000000000}"/>
  <bookViews>
    <workbookView xWindow="-108" yWindow="-108" windowWidth="23256" windowHeight="12456" activeTab="2" xr2:uid="{D64AB878-7E78-4A4B-9324-60CE0B2F0657}"/>
  </bookViews>
  <sheets>
    <sheet name="Demographic" sheetId="1" r:id="rId1"/>
    <sheet name="Sheet3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3" l="1"/>
  <c r="G39" i="3"/>
  <c r="G38" i="3"/>
  <c r="G37" i="3"/>
  <c r="G36" i="3"/>
</calcChain>
</file>

<file path=xl/sharedStrings.xml><?xml version="1.0" encoding="utf-8"?>
<sst xmlns="http://schemas.openxmlformats.org/spreadsheetml/2006/main" count="162" uniqueCount="75">
  <si>
    <t>Group</t>
  </si>
  <si>
    <t>w Service dog</t>
  </si>
  <si>
    <t>Waitlist</t>
  </si>
  <si>
    <t>N=168</t>
  </si>
  <si>
    <t>Characteristic</t>
  </si>
  <si>
    <t>Range</t>
  </si>
  <si>
    <t>Median</t>
  </si>
  <si>
    <t>Mean</t>
  </si>
  <si>
    <t>Service dog</t>
  </si>
  <si>
    <t>1st Qu.</t>
  </si>
  <si>
    <t>3rd Qu.</t>
  </si>
  <si>
    <t>PCS_follow</t>
  </si>
  <si>
    <t>PCS_base</t>
  </si>
  <si>
    <t>MCS_base</t>
  </si>
  <si>
    <t>MCS_follow</t>
  </si>
  <si>
    <t>Sd</t>
  </si>
  <si>
    <t>Missing</t>
  </si>
  <si>
    <t>14.44-66.87</t>
  </si>
  <si>
    <t>20.13-54.29</t>
  </si>
  <si>
    <t>0.67 - 56.63</t>
  </si>
  <si>
    <t>4.93 - 56.12</t>
  </si>
  <si>
    <t>VR12 item</t>
  </si>
  <si>
    <t>Variable Name</t>
  </si>
  <si>
    <t>Response Choice</t>
  </si>
  <si>
    <t>Value</t>
  </si>
  <si>
    <t xml:space="preserve">  Moderate activities</t>
  </si>
  <si>
    <t>Limited a lot</t>
  </si>
  <si>
    <t>Limited a little</t>
  </si>
  <si>
    <t>Not limited at all</t>
  </si>
  <si>
    <t>None of the time</t>
  </si>
  <si>
    <t>A little of the time</t>
  </si>
  <si>
    <t>Some of the time</t>
  </si>
  <si>
    <t>Most of the time</t>
  </si>
  <si>
    <t>All of the time</t>
  </si>
  <si>
    <t>Not at all</t>
  </si>
  <si>
    <t>A little bit</t>
  </si>
  <si>
    <t>Moderately</t>
  </si>
  <si>
    <t>Quite a bit</t>
  </si>
  <si>
    <t>Extremely</t>
  </si>
  <si>
    <t>Excellent</t>
  </si>
  <si>
    <t>Very good</t>
  </si>
  <si>
    <t>Good</t>
  </si>
  <si>
    <t>Fair</t>
  </si>
  <si>
    <t>Poor</t>
  </si>
  <si>
    <t>A good bit of the time</t>
  </si>
  <si>
    <t>Questions</t>
  </si>
  <si>
    <t>gh1x</t>
  </si>
  <si>
    <t>Scores</t>
  </si>
  <si>
    <t>Physical functioning</t>
  </si>
  <si>
    <t>General health</t>
  </si>
  <si>
    <t>pf02x</t>
  </si>
  <si>
    <t>pf04x</t>
  </si>
  <si>
    <t>Role Limitations because of Physical Problems</t>
  </si>
  <si>
    <t xml:space="preserve">  </t>
  </si>
  <si>
    <t>rp2x</t>
  </si>
  <si>
    <t>rp3x</t>
  </si>
  <si>
    <t xml:space="preserve">Pain </t>
  </si>
  <si>
    <t>Limited in the kind of work or activities</t>
  </si>
  <si>
    <t>Accomplished less than you would like</t>
  </si>
  <si>
    <t>Climbing several flights of stairs</t>
  </si>
  <si>
    <t>In general, you would say your health is</t>
  </si>
  <si>
    <t>How much pain interferes with normal work</t>
  </si>
  <si>
    <t>bp2x</t>
  </si>
  <si>
    <t>Vitality</t>
  </si>
  <si>
    <t>Have a lot of energy</t>
  </si>
  <si>
    <t>vt2x</t>
  </si>
  <si>
    <t>Social functioning</t>
  </si>
  <si>
    <t xml:space="preserve"> How much time health interferes w/social activities</t>
  </si>
  <si>
    <t>sf2x</t>
  </si>
  <si>
    <t>Role Limitations because of Emotional Problems</t>
  </si>
  <si>
    <t xml:space="preserve">                                                                   </t>
  </si>
  <si>
    <t>re2x</t>
  </si>
  <si>
    <t xml:space="preserve">Didn't do work or other activities as carefully as usual </t>
  </si>
  <si>
    <t>re3x</t>
  </si>
  <si>
    <t>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</si>
</sst>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10" fontId="0" fillId="0" borderId="0" xfId="0" applyNumberFormat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" xfId="0" applyFill="1" applyBorder="1"/>
    <xf numFmtId="0" fontId="0" fillId="0" borderId="2" xfId="0" applyBorder="1" applyAlignment="1">
      <alignment vertical="top"/>
    </xf>
    <xf numFmtId="0" fontId="0" fillId="0" borderId="2" xfId="0" applyFill="1" applyBorder="1" applyAlignment="1">
      <alignment vertical="top"/>
    </xf>
    <xf numFmtId="0" fontId="0" fillId="0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CF2D-A0A9-4B23-A596-60CE9BD4F0E3}">
  <dimension ref="B3:K32"/>
  <sheetViews>
    <sheetView topLeftCell="A15" workbookViewId="0">
      <selection activeCell="C33" sqref="C33"/>
    </sheetView>
  </sheetViews>
  <sheetFormatPr defaultRowHeight="14.4" x14ac:dyDescent="0.3"/>
  <cols>
    <col min="4" max="5" width="10.77734375" bestFit="1" customWidth="1"/>
    <col min="6" max="6" width="10.77734375" customWidth="1"/>
  </cols>
  <sheetData>
    <row r="3" spans="2:11" x14ac:dyDescent="0.3">
      <c r="B3" s="4" t="s">
        <v>0</v>
      </c>
      <c r="C3" s="4"/>
      <c r="D3" s="5" t="s">
        <v>3</v>
      </c>
      <c r="E3" s="5"/>
      <c r="F3" s="2"/>
    </row>
    <row r="4" spans="2:11" x14ac:dyDescent="0.3">
      <c r="B4" s="6" t="s">
        <v>1</v>
      </c>
      <c r="C4" s="6"/>
      <c r="D4" s="5">
        <v>92</v>
      </c>
      <c r="E4" s="7">
        <v>0.54800000000000004</v>
      </c>
      <c r="F4" s="3"/>
    </row>
    <row r="5" spans="2:11" x14ac:dyDescent="0.3">
      <c r="B5" s="4" t="s">
        <v>2</v>
      </c>
      <c r="C5" s="4"/>
      <c r="D5" s="5">
        <v>76</v>
      </c>
      <c r="E5" s="7">
        <v>0.45200000000000001</v>
      </c>
      <c r="F5" s="3"/>
    </row>
    <row r="9" spans="2:11" x14ac:dyDescent="0.3">
      <c r="B9" t="s">
        <v>4</v>
      </c>
      <c r="E9" t="s">
        <v>5</v>
      </c>
      <c r="F9" t="s">
        <v>9</v>
      </c>
      <c r="G9" t="s">
        <v>6</v>
      </c>
      <c r="H9" t="s">
        <v>7</v>
      </c>
      <c r="I9" t="s">
        <v>10</v>
      </c>
      <c r="J9" t="s">
        <v>15</v>
      </c>
      <c r="K9" t="s">
        <v>16</v>
      </c>
    </row>
    <row r="10" spans="2:11" x14ac:dyDescent="0.3">
      <c r="B10" t="s">
        <v>8</v>
      </c>
    </row>
    <row r="11" spans="2:11" x14ac:dyDescent="0.3">
      <c r="C11" t="s">
        <v>12</v>
      </c>
    </row>
    <row r="12" spans="2:11" x14ac:dyDescent="0.3">
      <c r="C12" t="s">
        <v>11</v>
      </c>
    </row>
    <row r="14" spans="2:11" x14ac:dyDescent="0.3">
      <c r="C14" t="s">
        <v>13</v>
      </c>
    </row>
    <row r="15" spans="2:11" x14ac:dyDescent="0.3">
      <c r="C15" t="s">
        <v>14</v>
      </c>
    </row>
    <row r="18" spans="2:9" x14ac:dyDescent="0.3">
      <c r="B18" t="s">
        <v>2</v>
      </c>
    </row>
    <row r="21" spans="2:9" x14ac:dyDescent="0.3">
      <c r="B21" s="5" t="s">
        <v>4</v>
      </c>
      <c r="C21" s="5"/>
      <c r="D21" s="5" t="s">
        <v>5</v>
      </c>
      <c r="E21" s="5" t="s">
        <v>9</v>
      </c>
      <c r="F21" s="5" t="s">
        <v>6</v>
      </c>
      <c r="G21" s="5" t="s">
        <v>7</v>
      </c>
      <c r="H21" s="5" t="s">
        <v>10</v>
      </c>
      <c r="I21" s="5" t="s">
        <v>15</v>
      </c>
    </row>
    <row r="22" spans="2:9" x14ac:dyDescent="0.3">
      <c r="B22" s="5"/>
      <c r="C22" s="5"/>
      <c r="D22" s="5"/>
      <c r="E22" s="5"/>
      <c r="F22" s="5"/>
      <c r="G22" s="5"/>
      <c r="H22" s="5"/>
      <c r="I22" s="5"/>
    </row>
    <row r="23" spans="2:9" x14ac:dyDescent="0.3">
      <c r="B23" s="5" t="s">
        <v>12</v>
      </c>
      <c r="C23" s="5"/>
      <c r="D23" s="5" t="s">
        <v>17</v>
      </c>
      <c r="E23" s="5">
        <v>33.4</v>
      </c>
      <c r="F23" s="5">
        <v>38.86</v>
      </c>
      <c r="G23" s="5">
        <v>39.71</v>
      </c>
      <c r="H23" s="5">
        <v>47.65</v>
      </c>
      <c r="I23" s="5">
        <v>10.55</v>
      </c>
    </row>
    <row r="24" spans="2:9" x14ac:dyDescent="0.3">
      <c r="B24" s="5" t="s">
        <v>13</v>
      </c>
      <c r="C24" s="5"/>
      <c r="D24" s="5" t="s">
        <v>19</v>
      </c>
      <c r="E24" s="5">
        <v>19.7</v>
      </c>
      <c r="F24" s="5">
        <v>27.04</v>
      </c>
      <c r="G24" s="5">
        <v>27.08</v>
      </c>
      <c r="H24" s="5">
        <v>33.96</v>
      </c>
      <c r="I24" s="5">
        <v>10.75</v>
      </c>
    </row>
    <row r="25" spans="2:9" x14ac:dyDescent="0.3">
      <c r="B25" s="2"/>
      <c r="C25" s="2"/>
      <c r="D25" s="2"/>
      <c r="E25" s="2"/>
      <c r="F25" s="2"/>
      <c r="G25" s="2"/>
      <c r="H25" s="2"/>
      <c r="I25" s="2"/>
    </row>
    <row r="26" spans="2:9" x14ac:dyDescent="0.3">
      <c r="B26" s="1" t="s">
        <v>16</v>
      </c>
      <c r="C26" s="1"/>
      <c r="D26" s="1">
        <v>4</v>
      </c>
      <c r="E26" s="1"/>
      <c r="F26" s="1"/>
      <c r="G26" s="1"/>
      <c r="H26" s="1"/>
      <c r="I26" s="1"/>
    </row>
    <row r="27" spans="2:9" x14ac:dyDescent="0.3">
      <c r="B27" s="2"/>
      <c r="C27" s="2"/>
      <c r="D27" s="2"/>
      <c r="E27" s="2"/>
      <c r="F27" s="2"/>
      <c r="G27" s="2"/>
      <c r="H27" s="2"/>
      <c r="I27" s="2"/>
    </row>
    <row r="28" spans="2:9" x14ac:dyDescent="0.3">
      <c r="B28" s="8"/>
      <c r="C28" s="8"/>
      <c r="D28" s="8"/>
      <c r="E28" s="8"/>
      <c r="F28" s="8"/>
      <c r="G28" s="8"/>
      <c r="H28" s="8"/>
      <c r="I28" s="8"/>
    </row>
    <row r="29" spans="2:9" x14ac:dyDescent="0.3">
      <c r="B29" s="5" t="s">
        <v>11</v>
      </c>
      <c r="C29" s="5"/>
      <c r="D29" s="5" t="s">
        <v>18</v>
      </c>
      <c r="E29" s="5">
        <v>33.67</v>
      </c>
      <c r="F29" s="5">
        <v>37.14</v>
      </c>
      <c r="G29" s="5">
        <v>37.75</v>
      </c>
      <c r="H29" s="5">
        <v>41.85</v>
      </c>
      <c r="I29" s="5">
        <v>6.18</v>
      </c>
    </row>
    <row r="30" spans="2:9" x14ac:dyDescent="0.3">
      <c r="B30" s="5" t="s">
        <v>14</v>
      </c>
      <c r="C30" s="5"/>
      <c r="D30" s="5" t="s">
        <v>20</v>
      </c>
      <c r="E30" s="5">
        <v>23.11</v>
      </c>
      <c r="F30" s="5">
        <v>31.3</v>
      </c>
      <c r="G30" s="5">
        <v>31.04</v>
      </c>
      <c r="H30" s="5">
        <v>39.409999999999997</v>
      </c>
      <c r="I30" s="5">
        <v>11.47</v>
      </c>
    </row>
    <row r="31" spans="2:9" x14ac:dyDescent="0.3">
      <c r="B31" s="5"/>
      <c r="C31" s="5"/>
      <c r="D31" s="5"/>
      <c r="E31" s="5"/>
      <c r="F31" s="5"/>
      <c r="G31" s="5"/>
      <c r="H31" s="5"/>
      <c r="I31" s="5"/>
    </row>
    <row r="32" spans="2:9" x14ac:dyDescent="0.3">
      <c r="B32" s="1" t="s">
        <v>16</v>
      </c>
      <c r="C32" s="1"/>
      <c r="D32" s="1">
        <v>102</v>
      </c>
      <c r="E32" s="1"/>
      <c r="F32" s="1"/>
      <c r="G32" s="1"/>
      <c r="H32" s="1"/>
      <c r="I32" s="1"/>
    </row>
  </sheetData>
  <mergeCells count="3">
    <mergeCell ref="B4:C4"/>
    <mergeCell ref="B5:C5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5165-BC62-405D-82B7-021AA29E4A29}">
  <dimension ref="B3:G60"/>
  <sheetViews>
    <sheetView workbookViewId="0">
      <selection activeCell="B3" sqref="B3:D60"/>
    </sheetView>
  </sheetViews>
  <sheetFormatPr defaultRowHeight="14.4" x14ac:dyDescent="0.3"/>
  <cols>
    <col min="2" max="2" width="39.88671875" bestFit="1" customWidth="1"/>
    <col min="3" max="3" width="43.6640625" bestFit="1" customWidth="1"/>
    <col min="4" max="4" width="12.88671875" bestFit="1" customWidth="1"/>
    <col min="5" max="5" width="17.5546875" bestFit="1" customWidth="1"/>
  </cols>
  <sheetData>
    <row r="3" spans="2:7" x14ac:dyDescent="0.3">
      <c r="B3" s="9" t="s">
        <v>21</v>
      </c>
      <c r="C3" s="9" t="s">
        <v>45</v>
      </c>
      <c r="D3" s="9" t="s">
        <v>22</v>
      </c>
      <c r="E3" s="9" t="s">
        <v>23</v>
      </c>
      <c r="F3" s="9" t="s">
        <v>24</v>
      </c>
      <c r="G3" s="9" t="s">
        <v>47</v>
      </c>
    </row>
    <row r="4" spans="2:7" x14ac:dyDescent="0.3">
      <c r="B4" s="10" t="s">
        <v>49</v>
      </c>
      <c r="C4" s="10" t="s">
        <v>60</v>
      </c>
      <c r="D4" s="10" t="s">
        <v>46</v>
      </c>
      <c r="E4" s="9" t="s">
        <v>39</v>
      </c>
      <c r="F4" s="9">
        <v>1</v>
      </c>
      <c r="G4" s="9">
        <v>100</v>
      </c>
    </row>
    <row r="5" spans="2:7" x14ac:dyDescent="0.3">
      <c r="B5" s="11"/>
      <c r="C5" s="11"/>
      <c r="D5" s="11"/>
      <c r="E5" s="9" t="s">
        <v>40</v>
      </c>
      <c r="F5" s="9">
        <v>2</v>
      </c>
      <c r="G5" s="9">
        <v>85</v>
      </c>
    </row>
    <row r="6" spans="2:7" x14ac:dyDescent="0.3">
      <c r="B6" s="11"/>
      <c r="C6" s="11"/>
      <c r="D6" s="11"/>
      <c r="E6" s="9" t="s">
        <v>41</v>
      </c>
      <c r="F6" s="9">
        <v>3</v>
      </c>
      <c r="G6" s="9">
        <v>60</v>
      </c>
    </row>
    <row r="7" spans="2:7" x14ac:dyDescent="0.3">
      <c r="B7" s="11"/>
      <c r="C7" s="11"/>
      <c r="D7" s="11"/>
      <c r="E7" s="9" t="s">
        <v>42</v>
      </c>
      <c r="F7" s="9">
        <v>4</v>
      </c>
      <c r="G7" s="9">
        <v>35</v>
      </c>
    </row>
    <row r="8" spans="2:7" x14ac:dyDescent="0.3">
      <c r="B8" s="11"/>
      <c r="C8" s="11"/>
      <c r="D8" s="11"/>
      <c r="E8" s="9" t="s">
        <v>43</v>
      </c>
      <c r="F8" s="9">
        <v>5</v>
      </c>
      <c r="G8" s="9">
        <v>0</v>
      </c>
    </row>
    <row r="9" spans="2:7" x14ac:dyDescent="0.3">
      <c r="B9" s="12"/>
      <c r="C9" s="12"/>
      <c r="D9" s="12"/>
      <c r="E9" s="9"/>
      <c r="F9" s="9"/>
      <c r="G9" s="9"/>
    </row>
    <row r="10" spans="2:7" x14ac:dyDescent="0.3">
      <c r="B10" s="9" t="s">
        <v>48</v>
      </c>
      <c r="C10" s="9" t="s">
        <v>25</v>
      </c>
      <c r="D10" s="9" t="s">
        <v>50</v>
      </c>
      <c r="E10" s="9" t="s">
        <v>26</v>
      </c>
      <c r="F10" s="9">
        <v>1</v>
      </c>
      <c r="G10" s="9">
        <v>0</v>
      </c>
    </row>
    <row r="11" spans="2:7" x14ac:dyDescent="0.3">
      <c r="B11" s="9"/>
      <c r="C11" s="9"/>
      <c r="D11" s="9"/>
      <c r="E11" s="9" t="s">
        <v>27</v>
      </c>
      <c r="F11" s="9">
        <v>2</v>
      </c>
      <c r="G11" s="9">
        <v>50</v>
      </c>
    </row>
    <row r="12" spans="2:7" x14ac:dyDescent="0.3">
      <c r="B12" s="9"/>
      <c r="C12" s="9"/>
      <c r="D12" s="9"/>
      <c r="E12" s="9" t="s">
        <v>28</v>
      </c>
      <c r="F12" s="9">
        <v>3</v>
      </c>
      <c r="G12" s="9">
        <v>100</v>
      </c>
    </row>
    <row r="13" spans="2:7" x14ac:dyDescent="0.3">
      <c r="B13" s="9"/>
      <c r="C13" s="9"/>
      <c r="D13" s="9"/>
      <c r="E13" s="9"/>
      <c r="F13" s="9"/>
      <c r="G13" s="9"/>
    </row>
    <row r="14" spans="2:7" x14ac:dyDescent="0.3">
      <c r="B14" s="9"/>
      <c r="C14" s="9" t="s">
        <v>59</v>
      </c>
      <c r="D14" s="9" t="s">
        <v>51</v>
      </c>
      <c r="E14" s="9" t="s">
        <v>26</v>
      </c>
      <c r="F14" s="9">
        <v>1</v>
      </c>
      <c r="G14" s="9">
        <v>0</v>
      </c>
    </row>
    <row r="15" spans="2:7" x14ac:dyDescent="0.3">
      <c r="B15" s="9"/>
      <c r="C15" s="9"/>
      <c r="D15" s="9"/>
      <c r="E15" s="9" t="s">
        <v>27</v>
      </c>
      <c r="F15" s="9">
        <v>2</v>
      </c>
      <c r="G15" s="9">
        <v>50</v>
      </c>
    </row>
    <row r="16" spans="2:7" x14ac:dyDescent="0.3">
      <c r="B16" s="9"/>
      <c r="C16" s="9"/>
      <c r="D16" s="9"/>
      <c r="E16" s="9" t="s">
        <v>28</v>
      </c>
      <c r="F16" s="9">
        <v>3</v>
      </c>
      <c r="G16" s="9">
        <v>100</v>
      </c>
    </row>
    <row r="17" spans="2:7" x14ac:dyDescent="0.3">
      <c r="B17" s="9"/>
      <c r="C17" s="9"/>
      <c r="D17" s="9"/>
      <c r="E17" s="9"/>
      <c r="F17" s="9"/>
      <c r="G17" s="9"/>
    </row>
    <row r="18" spans="2:7" x14ac:dyDescent="0.3">
      <c r="B18" s="9" t="s">
        <v>52</v>
      </c>
      <c r="C18" s="9" t="s">
        <v>58</v>
      </c>
      <c r="D18" s="9" t="s">
        <v>54</v>
      </c>
      <c r="E18" s="9" t="s">
        <v>29</v>
      </c>
      <c r="F18" s="9">
        <v>1</v>
      </c>
      <c r="G18" s="9">
        <v>100</v>
      </c>
    </row>
    <row r="19" spans="2:7" x14ac:dyDescent="0.3">
      <c r="B19" s="9"/>
      <c r="C19" s="9" t="s">
        <v>53</v>
      </c>
      <c r="D19" s="9"/>
      <c r="E19" s="9" t="s">
        <v>30</v>
      </c>
      <c r="F19" s="9">
        <v>2</v>
      </c>
      <c r="G19" s="9">
        <v>75</v>
      </c>
    </row>
    <row r="20" spans="2:7" x14ac:dyDescent="0.3">
      <c r="B20" s="9"/>
      <c r="C20" s="9"/>
      <c r="D20" s="9"/>
      <c r="E20" s="9" t="s">
        <v>31</v>
      </c>
      <c r="F20" s="9">
        <v>3</v>
      </c>
      <c r="G20" s="9">
        <v>50</v>
      </c>
    </row>
    <row r="21" spans="2:7" x14ac:dyDescent="0.3">
      <c r="B21" s="9"/>
      <c r="C21" s="9"/>
      <c r="D21" s="9"/>
      <c r="E21" s="9" t="s">
        <v>32</v>
      </c>
      <c r="F21" s="9">
        <v>4</v>
      </c>
      <c r="G21" s="9">
        <v>25</v>
      </c>
    </row>
    <row r="22" spans="2:7" x14ac:dyDescent="0.3">
      <c r="B22" s="9"/>
      <c r="C22" s="9"/>
      <c r="D22" s="9"/>
      <c r="E22" s="9" t="s">
        <v>33</v>
      </c>
      <c r="F22" s="9">
        <v>5</v>
      </c>
      <c r="G22" s="9">
        <v>0</v>
      </c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 t="s">
        <v>57</v>
      </c>
      <c r="D24" s="9" t="s">
        <v>55</v>
      </c>
      <c r="E24" s="9" t="s">
        <v>29</v>
      </c>
      <c r="F24" s="9">
        <v>1</v>
      </c>
      <c r="G24" s="9">
        <v>100</v>
      </c>
    </row>
    <row r="25" spans="2:7" x14ac:dyDescent="0.3">
      <c r="B25" s="9"/>
      <c r="C25" s="9"/>
      <c r="D25" s="9"/>
      <c r="E25" s="9" t="s">
        <v>30</v>
      </c>
      <c r="F25" s="9">
        <v>2</v>
      </c>
      <c r="G25" s="9">
        <v>75</v>
      </c>
    </row>
    <row r="26" spans="2:7" x14ac:dyDescent="0.3">
      <c r="B26" s="9"/>
      <c r="C26" s="9"/>
      <c r="D26" s="9"/>
      <c r="E26" s="9" t="s">
        <v>31</v>
      </c>
      <c r="F26" s="9">
        <v>3</v>
      </c>
      <c r="G26" s="9">
        <v>50</v>
      </c>
    </row>
    <row r="27" spans="2:7" x14ac:dyDescent="0.3">
      <c r="B27" s="9"/>
      <c r="C27" s="9"/>
      <c r="D27" s="9"/>
      <c r="E27" s="9" t="s">
        <v>32</v>
      </c>
      <c r="F27" s="9">
        <v>4</v>
      </c>
      <c r="G27" s="9">
        <v>25</v>
      </c>
    </row>
    <row r="28" spans="2:7" x14ac:dyDescent="0.3">
      <c r="B28" s="9"/>
      <c r="C28" s="9"/>
      <c r="D28" s="9"/>
      <c r="E28" s="9" t="s">
        <v>33</v>
      </c>
      <c r="F28" s="9">
        <v>5</v>
      </c>
      <c r="G28" s="9">
        <v>0</v>
      </c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 t="s">
        <v>69</v>
      </c>
      <c r="C30" s="9" t="s">
        <v>58</v>
      </c>
      <c r="D30" s="9" t="s">
        <v>71</v>
      </c>
      <c r="E30" s="9" t="s">
        <v>29</v>
      </c>
      <c r="F30" s="9">
        <v>1</v>
      </c>
      <c r="G30" s="9">
        <v>100</v>
      </c>
    </row>
    <row r="31" spans="2:7" x14ac:dyDescent="0.3">
      <c r="B31" s="9"/>
      <c r="C31" s="9"/>
      <c r="D31" s="9"/>
      <c r="E31" s="9" t="s">
        <v>30</v>
      </c>
      <c r="F31" s="9">
        <v>2</v>
      </c>
      <c r="G31" s="9">
        <v>75</v>
      </c>
    </row>
    <row r="32" spans="2:7" x14ac:dyDescent="0.3">
      <c r="B32" s="9" t="s">
        <v>70</v>
      </c>
      <c r="C32" s="9"/>
      <c r="D32" s="9"/>
      <c r="E32" s="9" t="s">
        <v>31</v>
      </c>
      <c r="F32" s="9">
        <v>3</v>
      </c>
      <c r="G32" s="9">
        <v>50</v>
      </c>
    </row>
    <row r="33" spans="2:7" x14ac:dyDescent="0.3">
      <c r="B33" s="9"/>
      <c r="C33" s="9"/>
      <c r="D33" s="9"/>
      <c r="E33" s="9" t="s">
        <v>32</v>
      </c>
      <c r="F33" s="9">
        <v>4</v>
      </c>
      <c r="G33" s="9">
        <v>25</v>
      </c>
    </row>
    <row r="34" spans="2:7" x14ac:dyDescent="0.3">
      <c r="B34" s="9"/>
      <c r="C34" s="9"/>
      <c r="D34" s="9"/>
      <c r="E34" s="9" t="s">
        <v>33</v>
      </c>
      <c r="F34" s="9">
        <v>5</v>
      </c>
      <c r="G34" s="9">
        <v>0</v>
      </c>
    </row>
    <row r="35" spans="2:7" x14ac:dyDescent="0.3">
      <c r="B35" s="9"/>
      <c r="C35" s="9"/>
      <c r="D35" s="9"/>
      <c r="E35" s="9"/>
      <c r="F35" s="9"/>
      <c r="G35" s="9"/>
    </row>
    <row r="36" spans="2:7" x14ac:dyDescent="0.3">
      <c r="B36" s="9"/>
      <c r="C36" s="9" t="s">
        <v>72</v>
      </c>
      <c r="D36" s="9" t="s">
        <v>73</v>
      </c>
      <c r="E36" s="9" t="s">
        <v>29</v>
      </c>
      <c r="F36" s="9">
        <v>1</v>
      </c>
      <c r="G36" s="9">
        <f>(5-F36)*25</f>
        <v>100</v>
      </c>
    </row>
    <row r="37" spans="2:7" x14ac:dyDescent="0.3">
      <c r="B37" s="9"/>
      <c r="C37" s="9"/>
      <c r="D37" s="9"/>
      <c r="E37" s="9" t="s">
        <v>30</v>
      </c>
      <c r="F37" s="9">
        <v>2</v>
      </c>
      <c r="G37" s="9">
        <f t="shared" ref="G37:G40" si="0">(5-F37)*25</f>
        <v>75</v>
      </c>
    </row>
    <row r="38" spans="2:7" x14ac:dyDescent="0.3">
      <c r="B38" s="9"/>
      <c r="C38" s="9"/>
      <c r="D38" s="9"/>
      <c r="E38" s="9" t="s">
        <v>31</v>
      </c>
      <c r="F38" s="9">
        <v>3</v>
      </c>
      <c r="G38" s="9">
        <f t="shared" si="0"/>
        <v>50</v>
      </c>
    </row>
    <row r="39" spans="2:7" x14ac:dyDescent="0.3">
      <c r="B39" s="9"/>
      <c r="C39" s="9"/>
      <c r="D39" s="9"/>
      <c r="E39" s="9" t="s">
        <v>32</v>
      </c>
      <c r="F39" s="9">
        <v>4</v>
      </c>
      <c r="G39" s="9">
        <f t="shared" si="0"/>
        <v>25</v>
      </c>
    </row>
    <row r="40" spans="2:7" x14ac:dyDescent="0.3">
      <c r="B40" s="9"/>
      <c r="C40" s="9"/>
      <c r="D40" s="9"/>
      <c r="E40" s="9" t="s">
        <v>33</v>
      </c>
      <c r="F40" s="9">
        <v>5</v>
      </c>
      <c r="G40" s="9">
        <f t="shared" si="0"/>
        <v>0</v>
      </c>
    </row>
    <row r="41" spans="2:7" x14ac:dyDescent="0.3">
      <c r="B41" s="9"/>
      <c r="C41" s="9"/>
      <c r="D41" s="9"/>
      <c r="E41" s="9"/>
      <c r="F41" s="9"/>
      <c r="G41" s="9"/>
    </row>
    <row r="42" spans="2:7" x14ac:dyDescent="0.3">
      <c r="B42" s="9" t="s">
        <v>66</v>
      </c>
      <c r="C42" s="9" t="s">
        <v>67</v>
      </c>
      <c r="D42" s="9" t="s">
        <v>68</v>
      </c>
      <c r="E42" s="9" t="s">
        <v>33</v>
      </c>
      <c r="F42" s="9">
        <v>1</v>
      </c>
      <c r="G42" s="9">
        <v>0</v>
      </c>
    </row>
    <row r="43" spans="2:7" x14ac:dyDescent="0.3">
      <c r="B43" s="9"/>
      <c r="C43" s="9"/>
      <c r="D43" s="9"/>
      <c r="E43" s="9" t="s">
        <v>32</v>
      </c>
      <c r="F43" s="9">
        <v>2</v>
      </c>
      <c r="G43" s="9">
        <v>25</v>
      </c>
    </row>
    <row r="44" spans="2:7" x14ac:dyDescent="0.3">
      <c r="B44" s="9"/>
      <c r="C44" s="9"/>
      <c r="D44" s="9"/>
      <c r="E44" s="9" t="s">
        <v>31</v>
      </c>
      <c r="F44" s="9">
        <v>3</v>
      </c>
      <c r="G44" s="9">
        <v>50</v>
      </c>
    </row>
    <row r="45" spans="2:7" x14ac:dyDescent="0.3">
      <c r="B45" s="9"/>
      <c r="C45" s="9"/>
      <c r="D45" s="9"/>
      <c r="E45" s="9" t="s">
        <v>30</v>
      </c>
      <c r="F45" s="9">
        <v>4</v>
      </c>
      <c r="G45" s="9">
        <v>75</v>
      </c>
    </row>
    <row r="46" spans="2:7" x14ac:dyDescent="0.3">
      <c r="B46" s="9"/>
      <c r="C46" s="9"/>
      <c r="D46" s="9"/>
      <c r="E46" s="9" t="s">
        <v>29</v>
      </c>
      <c r="F46" s="9">
        <v>5</v>
      </c>
      <c r="G46" s="9">
        <v>100</v>
      </c>
    </row>
    <row r="47" spans="2:7" x14ac:dyDescent="0.3">
      <c r="B47" s="9"/>
      <c r="C47" s="9"/>
      <c r="D47" s="9"/>
      <c r="E47" s="9"/>
      <c r="F47" s="9"/>
      <c r="G47" s="9"/>
    </row>
    <row r="48" spans="2:7" x14ac:dyDescent="0.3">
      <c r="B48" s="9" t="s">
        <v>63</v>
      </c>
      <c r="C48" s="9" t="s">
        <v>64</v>
      </c>
      <c r="D48" s="9" t="s">
        <v>65</v>
      </c>
      <c r="E48" s="9" t="s">
        <v>33</v>
      </c>
      <c r="F48" s="9">
        <v>1</v>
      </c>
      <c r="G48" s="9">
        <v>100</v>
      </c>
    </row>
    <row r="49" spans="2:7" x14ac:dyDescent="0.3">
      <c r="B49" s="9"/>
      <c r="C49" s="9"/>
      <c r="D49" s="9"/>
      <c r="E49" s="9" t="s">
        <v>32</v>
      </c>
      <c r="F49" s="9">
        <v>2</v>
      </c>
      <c r="G49" s="9">
        <v>80</v>
      </c>
    </row>
    <row r="50" spans="2:7" x14ac:dyDescent="0.3">
      <c r="B50" s="9"/>
      <c r="C50" s="9"/>
      <c r="D50" s="9"/>
      <c r="E50" s="9" t="s">
        <v>44</v>
      </c>
      <c r="F50" s="9">
        <v>3</v>
      </c>
      <c r="G50" s="9">
        <v>60</v>
      </c>
    </row>
    <row r="51" spans="2:7" x14ac:dyDescent="0.3">
      <c r="B51" s="9"/>
      <c r="C51" s="9"/>
      <c r="D51" s="9"/>
      <c r="E51" s="9" t="s">
        <v>31</v>
      </c>
      <c r="F51" s="9">
        <v>4</v>
      </c>
      <c r="G51" s="9">
        <v>40</v>
      </c>
    </row>
    <row r="52" spans="2:7" x14ac:dyDescent="0.3">
      <c r="B52" s="9"/>
      <c r="C52" s="9"/>
      <c r="D52" s="9"/>
      <c r="E52" s="9" t="s">
        <v>30</v>
      </c>
      <c r="F52" s="9">
        <v>5</v>
      </c>
      <c r="G52" s="9">
        <v>20</v>
      </c>
    </row>
    <row r="53" spans="2:7" x14ac:dyDescent="0.3">
      <c r="B53" s="9"/>
      <c r="C53" s="9"/>
      <c r="D53" s="9"/>
      <c r="E53" s="9" t="s">
        <v>29</v>
      </c>
      <c r="F53" s="9">
        <v>6</v>
      </c>
      <c r="G53" s="9">
        <v>0</v>
      </c>
    </row>
    <row r="54" spans="2:7" x14ac:dyDescent="0.3">
      <c r="B54" s="9"/>
      <c r="C54" s="9"/>
      <c r="D54" s="9"/>
      <c r="E54" s="9"/>
      <c r="F54" s="9"/>
      <c r="G54" s="9"/>
    </row>
    <row r="55" spans="2:7" x14ac:dyDescent="0.3">
      <c r="B55" s="9" t="s">
        <v>56</v>
      </c>
      <c r="C55" s="9"/>
      <c r="D55" s="9"/>
      <c r="E55" s="9"/>
      <c r="F55" s="9"/>
      <c r="G55" s="9"/>
    </row>
    <row r="56" spans="2:7" x14ac:dyDescent="0.3">
      <c r="B56" s="9"/>
      <c r="C56" s="9" t="s">
        <v>61</v>
      </c>
      <c r="D56" s="9" t="s">
        <v>62</v>
      </c>
      <c r="E56" s="9" t="s">
        <v>34</v>
      </c>
      <c r="F56" s="9">
        <v>1</v>
      </c>
      <c r="G56" s="9">
        <v>100</v>
      </c>
    </row>
    <row r="57" spans="2:7" x14ac:dyDescent="0.3">
      <c r="B57" s="9"/>
      <c r="C57" s="9"/>
      <c r="D57" s="9"/>
      <c r="E57" s="9" t="s">
        <v>35</v>
      </c>
      <c r="F57" s="9">
        <v>2</v>
      </c>
      <c r="G57" s="9">
        <v>75</v>
      </c>
    </row>
    <row r="58" spans="2:7" x14ac:dyDescent="0.3">
      <c r="B58" s="9"/>
      <c r="C58" s="9"/>
      <c r="D58" s="9"/>
      <c r="E58" s="9" t="s">
        <v>36</v>
      </c>
      <c r="F58" s="9">
        <v>3</v>
      </c>
      <c r="G58" s="9">
        <v>50</v>
      </c>
    </row>
    <row r="59" spans="2:7" x14ac:dyDescent="0.3">
      <c r="B59" s="9"/>
      <c r="C59" s="9"/>
      <c r="D59" s="9"/>
      <c r="E59" s="9" t="s">
        <v>37</v>
      </c>
      <c r="F59" s="9">
        <v>4</v>
      </c>
      <c r="G59" s="9">
        <v>25</v>
      </c>
    </row>
    <row r="60" spans="2:7" x14ac:dyDescent="0.3">
      <c r="B60" s="9"/>
      <c r="C60" s="9"/>
      <c r="D60" s="9"/>
      <c r="E60" s="9" t="s">
        <v>38</v>
      </c>
      <c r="F60" s="9">
        <v>5</v>
      </c>
      <c r="G60" s="9">
        <v>0</v>
      </c>
    </row>
  </sheetData>
  <mergeCells count="3">
    <mergeCell ref="B4:B9"/>
    <mergeCell ref="C4:C9"/>
    <mergeCell ref="D4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EDC3-AE2E-4DA3-A8FA-343720AA981D}">
  <dimension ref="B3:I27"/>
  <sheetViews>
    <sheetView tabSelected="1" workbookViewId="0">
      <selection activeCell="B3" sqref="B3:I22"/>
    </sheetView>
  </sheetViews>
  <sheetFormatPr defaultRowHeight="14.4" x14ac:dyDescent="0.3"/>
  <cols>
    <col min="2" max="2" width="39.88671875" bestFit="1" customWidth="1"/>
    <col min="3" max="3" width="43.6640625" bestFit="1" customWidth="1"/>
    <col min="4" max="4" width="12.88671875" bestFit="1" customWidth="1"/>
  </cols>
  <sheetData>
    <row r="3" spans="2:9" x14ac:dyDescent="0.3">
      <c r="B3" s="8" t="s">
        <v>21</v>
      </c>
      <c r="C3" s="8" t="s">
        <v>45</v>
      </c>
      <c r="D3" s="8" t="s">
        <v>22</v>
      </c>
      <c r="E3" s="13" t="s">
        <v>5</v>
      </c>
      <c r="F3" s="13" t="s">
        <v>9</v>
      </c>
      <c r="G3" s="13" t="s">
        <v>7</v>
      </c>
      <c r="H3" s="13" t="s">
        <v>10</v>
      </c>
      <c r="I3" s="13" t="s">
        <v>16</v>
      </c>
    </row>
    <row r="4" spans="2:9" x14ac:dyDescent="0.3">
      <c r="B4" s="14" t="s">
        <v>49</v>
      </c>
      <c r="C4" s="14" t="s">
        <v>60</v>
      </c>
      <c r="D4" s="14" t="s">
        <v>46</v>
      </c>
      <c r="E4" s="15" t="s">
        <v>74</v>
      </c>
      <c r="F4" s="5">
        <v>35</v>
      </c>
      <c r="G4" s="5">
        <v>44.88</v>
      </c>
      <c r="H4" s="5">
        <v>60</v>
      </c>
      <c r="I4" s="5">
        <v>3</v>
      </c>
    </row>
    <row r="5" spans="2:9" x14ac:dyDescent="0.3">
      <c r="B5" s="14"/>
      <c r="C5" s="14"/>
      <c r="D5" s="14"/>
      <c r="E5" s="5"/>
      <c r="F5" s="5"/>
      <c r="G5" s="5"/>
      <c r="H5" s="5"/>
      <c r="I5" s="5"/>
    </row>
    <row r="6" spans="2:9" x14ac:dyDescent="0.3">
      <c r="B6" s="5" t="s">
        <v>48</v>
      </c>
      <c r="C6" s="5" t="s">
        <v>25</v>
      </c>
      <c r="D6" s="5" t="s">
        <v>50</v>
      </c>
      <c r="E6" s="15" t="s">
        <v>74</v>
      </c>
      <c r="F6" s="5">
        <v>50</v>
      </c>
      <c r="G6" s="5">
        <v>53.03</v>
      </c>
      <c r="H6" s="5">
        <v>100</v>
      </c>
      <c r="I6" s="5">
        <v>4</v>
      </c>
    </row>
    <row r="7" spans="2:9" x14ac:dyDescent="0.3">
      <c r="B7" s="5"/>
      <c r="C7" s="5"/>
      <c r="D7" s="5"/>
      <c r="E7" s="5"/>
      <c r="F7" s="5"/>
      <c r="G7" s="5"/>
      <c r="H7" s="5"/>
      <c r="I7" s="5"/>
    </row>
    <row r="8" spans="2:9" x14ac:dyDescent="0.3">
      <c r="B8" s="5"/>
      <c r="C8" s="5" t="s">
        <v>59</v>
      </c>
      <c r="D8" s="5" t="s">
        <v>51</v>
      </c>
      <c r="E8" s="15" t="s">
        <v>74</v>
      </c>
      <c r="F8" s="5">
        <v>50</v>
      </c>
      <c r="G8" s="5">
        <v>53.03</v>
      </c>
      <c r="H8" s="5">
        <v>100</v>
      </c>
      <c r="I8" s="5">
        <v>3</v>
      </c>
    </row>
    <row r="9" spans="2:9" x14ac:dyDescent="0.3">
      <c r="B9" s="5"/>
      <c r="C9" s="5"/>
      <c r="D9" s="5"/>
      <c r="E9" s="5"/>
      <c r="F9" s="5"/>
      <c r="G9" s="5"/>
      <c r="H9" s="5"/>
      <c r="I9" s="5"/>
    </row>
    <row r="10" spans="2:9" x14ac:dyDescent="0.3">
      <c r="B10" s="5" t="s">
        <v>52</v>
      </c>
      <c r="C10" s="5" t="s">
        <v>58</v>
      </c>
      <c r="D10" s="5" t="s">
        <v>54</v>
      </c>
      <c r="E10" s="15" t="s">
        <v>74</v>
      </c>
      <c r="F10" s="5">
        <v>25</v>
      </c>
      <c r="G10" s="5">
        <v>45.91</v>
      </c>
      <c r="H10" s="5">
        <v>75</v>
      </c>
      <c r="I10" s="5">
        <v>3</v>
      </c>
    </row>
    <row r="11" spans="2:9" x14ac:dyDescent="0.3">
      <c r="B11" s="5"/>
      <c r="C11" s="5"/>
      <c r="D11" s="5"/>
      <c r="E11" s="5"/>
      <c r="F11" s="5"/>
      <c r="G11" s="5"/>
      <c r="H11" s="5"/>
      <c r="I11" s="5"/>
    </row>
    <row r="12" spans="2:9" x14ac:dyDescent="0.3">
      <c r="B12" s="5"/>
      <c r="C12" s="5" t="s">
        <v>57</v>
      </c>
      <c r="D12" s="5" t="s">
        <v>55</v>
      </c>
      <c r="E12" s="15" t="s">
        <v>74</v>
      </c>
      <c r="F12" s="5">
        <v>25</v>
      </c>
      <c r="G12" s="5">
        <v>48.64</v>
      </c>
      <c r="H12" s="5">
        <v>75</v>
      </c>
      <c r="I12" s="5">
        <v>3</v>
      </c>
    </row>
    <row r="13" spans="2:9" x14ac:dyDescent="0.3">
      <c r="B13" s="5"/>
      <c r="C13" s="5"/>
      <c r="D13" s="5"/>
      <c r="E13" s="5"/>
      <c r="F13" s="5"/>
      <c r="G13" s="5"/>
      <c r="H13" s="5"/>
      <c r="I13" s="5"/>
    </row>
    <row r="14" spans="2:9" x14ac:dyDescent="0.3">
      <c r="B14" s="5" t="s">
        <v>69</v>
      </c>
      <c r="C14" s="5" t="s">
        <v>58</v>
      </c>
      <c r="D14" s="5" t="s">
        <v>71</v>
      </c>
      <c r="E14" s="15" t="s">
        <v>74</v>
      </c>
      <c r="F14" s="5">
        <v>25</v>
      </c>
      <c r="G14" s="5">
        <v>35.15</v>
      </c>
      <c r="H14" s="5">
        <v>50</v>
      </c>
      <c r="I14" s="5">
        <v>3</v>
      </c>
    </row>
    <row r="15" spans="2:9" x14ac:dyDescent="0.3">
      <c r="B15" s="5"/>
      <c r="C15" s="5"/>
      <c r="D15" s="5"/>
      <c r="E15" s="5"/>
      <c r="F15" s="5"/>
      <c r="G15" s="5"/>
      <c r="H15" s="5"/>
      <c r="I15" s="5"/>
    </row>
    <row r="16" spans="2:9" x14ac:dyDescent="0.3">
      <c r="B16" s="5"/>
      <c r="C16" s="5" t="s">
        <v>72</v>
      </c>
      <c r="D16" s="5" t="s">
        <v>73</v>
      </c>
      <c r="E16" s="15" t="s">
        <v>74</v>
      </c>
      <c r="F16" s="5">
        <v>25</v>
      </c>
      <c r="G16" s="5">
        <v>44.39</v>
      </c>
      <c r="H16" s="5">
        <v>75</v>
      </c>
      <c r="I16" s="5">
        <v>3</v>
      </c>
    </row>
    <row r="17" spans="2:9" x14ac:dyDescent="0.3">
      <c r="B17" s="5"/>
      <c r="C17" s="5"/>
      <c r="D17" s="5"/>
      <c r="E17" s="5"/>
      <c r="F17" s="5"/>
      <c r="G17" s="5"/>
      <c r="H17" s="5"/>
      <c r="I17" s="5"/>
    </row>
    <row r="18" spans="2:9" x14ac:dyDescent="0.3">
      <c r="B18" s="5" t="s">
        <v>66</v>
      </c>
      <c r="C18" s="5" t="s">
        <v>67</v>
      </c>
      <c r="D18" s="5" t="s">
        <v>68</v>
      </c>
      <c r="E18" s="15" t="s">
        <v>74</v>
      </c>
      <c r="F18" s="5">
        <v>0</v>
      </c>
      <c r="G18" s="5">
        <v>30.91</v>
      </c>
      <c r="H18" s="5">
        <v>50</v>
      </c>
      <c r="I18" s="5">
        <v>3</v>
      </c>
    </row>
    <row r="19" spans="2:9" x14ac:dyDescent="0.3">
      <c r="B19" s="5"/>
      <c r="C19" s="5"/>
      <c r="D19" s="5"/>
      <c r="E19" s="5"/>
      <c r="F19" s="5"/>
      <c r="G19" s="5"/>
      <c r="H19" s="5"/>
      <c r="I19" s="5"/>
    </row>
    <row r="20" spans="2:9" x14ac:dyDescent="0.3">
      <c r="B20" s="5" t="s">
        <v>63</v>
      </c>
      <c r="C20" s="5" t="s">
        <v>64</v>
      </c>
      <c r="D20" s="5" t="s">
        <v>65</v>
      </c>
      <c r="E20" s="15" t="s">
        <v>74</v>
      </c>
      <c r="F20" s="5">
        <v>0</v>
      </c>
      <c r="G20" s="5">
        <v>22.67</v>
      </c>
      <c r="H20" s="5">
        <v>40</v>
      </c>
      <c r="I20" s="5">
        <v>3</v>
      </c>
    </row>
    <row r="21" spans="2:9" x14ac:dyDescent="0.3">
      <c r="B21" s="5"/>
      <c r="C21" s="5"/>
      <c r="D21" s="5"/>
      <c r="E21" s="5"/>
      <c r="F21" s="5"/>
      <c r="G21" s="5"/>
      <c r="H21" s="5"/>
      <c r="I21" s="5"/>
    </row>
    <row r="22" spans="2:9" x14ac:dyDescent="0.3">
      <c r="B22" s="1" t="s">
        <v>56</v>
      </c>
      <c r="C22" s="1" t="s">
        <v>61</v>
      </c>
      <c r="D22" s="1" t="s">
        <v>62</v>
      </c>
      <c r="E22" s="16" t="s">
        <v>74</v>
      </c>
      <c r="F22" s="1">
        <v>25</v>
      </c>
      <c r="G22" s="1">
        <v>46.06</v>
      </c>
      <c r="H22" s="1">
        <v>75</v>
      </c>
      <c r="I22" s="1">
        <v>3</v>
      </c>
    </row>
    <row r="23" spans="2:9" x14ac:dyDescent="0.3">
      <c r="B23" s="2"/>
      <c r="C23" s="2"/>
      <c r="D23" s="2"/>
    </row>
    <row r="24" spans="2:9" x14ac:dyDescent="0.3">
      <c r="B24" s="2"/>
      <c r="C24" s="2"/>
      <c r="D24" s="2"/>
    </row>
    <row r="25" spans="2:9" x14ac:dyDescent="0.3">
      <c r="B25" s="2"/>
      <c r="C25" s="2"/>
      <c r="D25" s="2"/>
    </row>
    <row r="26" spans="2:9" x14ac:dyDescent="0.3">
      <c r="B26" s="2"/>
      <c r="C26" s="2"/>
      <c r="D26" s="2"/>
    </row>
    <row r="27" spans="2:9" x14ac:dyDescent="0.3">
      <c r="B27" s="2"/>
      <c r="C27" s="2"/>
      <c r="D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Quế Chi Thiều Ngọc</dc:creator>
  <cp:lastModifiedBy>Quế Chi Thiều Ngọc</cp:lastModifiedBy>
  <dcterms:created xsi:type="dcterms:W3CDTF">2024-10-21T18:37:44Z</dcterms:created>
  <dcterms:modified xsi:type="dcterms:W3CDTF">2024-10-21T23:12:21Z</dcterms:modified>
</cp:coreProperties>
</file>