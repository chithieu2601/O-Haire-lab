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8025"/>
  <workbookPr dateCompatibility="0"/>
  <mc:AlternateContent xmlns:mc="http://schemas.openxmlformats.org/markup-compatibility/2006">
    <mc:Choice Requires="x15">
      <x15ac:absPath xmlns:x15ac="http://schemas.microsoft.com/office/spreadsheetml/2010/11/ac" url="https://api.box.com/wopi/files/1662562401591/WOPIServiceId_TP_BOX_2/WOPIUserId_-/"/>
    </mc:Choice>
  </mc:AlternateContent>
  <xr:revisionPtr revIDLastSave="0" documentId="10_ncr:8_{E907F471-F5D8-4C78-9D9B-17669D438E27}" xr6:coauthVersionLast="47" xr6:coauthVersionMax="47" xr10:uidLastSave="{00000000-0000-0000-0000-000000000000}"/>
  <bookViews>
    <workbookView xWindow="90" yWindow="315" windowWidth="28095" windowHeight="15165" activeTab="2" xr2:uid="{8F9146BE-AAB1-6842-B08C-68DC781ADD1A}"/>
  </bookViews>
  <sheets>
    <sheet name="finished" sheetId="1" r:id="rId1"/>
    <sheet name="Sheet3" sheetId="4" r:id="rId2"/>
    <sheet name="finished_recode" sheetId="3" r:id="rId3"/>
    <sheet name="qualtrics scoring codebook" sheetId="2" r:id="rId4"/>
  </sheets>
  <calcPr calcId="191028"/>
  <fileRecoveryPr repairLoad="1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S4" i="3" l="1"/>
  <c r="BS5" i="3"/>
  <c r="BS6" i="3"/>
  <c r="BE6" i="3" s="1"/>
  <c r="BS7" i="3"/>
  <c r="BE7" i="3" s="1"/>
  <c r="BS8" i="3"/>
  <c r="BS9" i="3"/>
  <c r="BS10" i="3"/>
  <c r="BS11" i="3"/>
  <c r="BE11" i="3" s="1"/>
  <c r="BS12" i="3"/>
  <c r="BS13" i="3"/>
  <c r="BS15" i="3"/>
  <c r="BF15" i="3" s="1"/>
  <c r="BS17" i="3"/>
  <c r="BS19" i="3"/>
  <c r="BF19" i="3" s="1"/>
  <c r="BS20" i="3"/>
  <c r="BS21" i="3"/>
  <c r="BF21" i="3" s="1"/>
  <c r="BS22" i="3"/>
  <c r="BE22" i="3" s="1"/>
  <c r="BS23" i="3"/>
  <c r="BF23" i="3" s="1"/>
  <c r="BS24" i="3"/>
  <c r="BS25" i="3"/>
  <c r="BS26" i="3"/>
  <c r="BS27" i="3"/>
  <c r="BF27" i="3" s="1"/>
  <c r="BS29" i="3"/>
  <c r="BS30" i="3"/>
  <c r="BE30" i="3" s="1"/>
  <c r="BS31" i="3"/>
  <c r="BF31" i="3" s="1"/>
  <c r="BS32" i="3"/>
  <c r="BS33" i="3"/>
  <c r="BS34" i="3"/>
  <c r="BS35" i="3"/>
  <c r="BE35" i="3" s="1"/>
  <c r="BS36" i="3"/>
  <c r="BS37" i="3"/>
  <c r="BS38" i="3"/>
  <c r="BE38" i="3" s="1"/>
  <c r="BS39" i="3"/>
  <c r="BF39" i="3" s="1"/>
  <c r="BS40" i="3"/>
  <c r="BS41" i="3"/>
  <c r="BS42" i="3"/>
  <c r="BS43" i="3"/>
  <c r="BE43" i="3" s="1"/>
  <c r="BS44" i="3"/>
  <c r="BS45" i="3"/>
  <c r="BS48" i="3"/>
  <c r="BS49" i="3"/>
  <c r="BS52" i="3"/>
  <c r="BS54" i="3"/>
  <c r="BE54" i="3" s="1"/>
  <c r="BS55" i="3"/>
  <c r="BS56" i="3"/>
  <c r="BS57" i="3"/>
  <c r="BS58" i="3"/>
  <c r="BS59" i="3"/>
  <c r="BE59" i="3" s="1"/>
  <c r="BS60" i="3"/>
  <c r="BS61" i="3"/>
  <c r="BF61" i="3" s="1"/>
  <c r="BS63" i="3"/>
  <c r="BS65" i="3"/>
  <c r="BS66" i="3"/>
  <c r="BS67" i="3"/>
  <c r="BF67" i="3" s="1"/>
  <c r="BS68" i="3"/>
  <c r="BS69" i="3"/>
  <c r="BS70" i="3"/>
  <c r="BE70" i="3" s="1"/>
  <c r="BS71" i="3"/>
  <c r="BF71" i="3" s="1"/>
  <c r="BS72" i="3"/>
  <c r="BS73" i="3"/>
  <c r="BS75" i="3"/>
  <c r="BE75" i="3" s="1"/>
  <c r="BS76" i="3"/>
  <c r="BS77" i="3"/>
  <c r="BS78" i="3"/>
  <c r="BE78" i="3" s="1"/>
  <c r="BS80" i="3"/>
  <c r="BS81" i="3"/>
  <c r="BS82" i="3"/>
  <c r="BS83" i="3"/>
  <c r="BE83" i="3" s="1"/>
  <c r="BS85" i="3"/>
  <c r="BF85" i="3" s="1"/>
  <c r="BS86" i="3"/>
  <c r="BF86" i="3" s="1"/>
  <c r="BS87" i="3"/>
  <c r="BS88" i="3"/>
  <c r="BS89" i="3"/>
  <c r="BS90" i="3"/>
  <c r="BS91" i="3"/>
  <c r="BE91" i="3" s="1"/>
  <c r="BS92" i="3"/>
  <c r="BS93" i="3"/>
  <c r="BS94" i="3"/>
  <c r="BE94" i="3" s="1"/>
  <c r="BS96" i="3"/>
  <c r="BS97" i="3"/>
  <c r="BS98" i="3"/>
  <c r="BS99" i="3"/>
  <c r="BE99" i="3" s="1"/>
  <c r="BS100" i="3"/>
  <c r="BS101" i="3"/>
  <c r="BS102" i="3"/>
  <c r="BE102" i="3" s="1"/>
  <c r="BS103" i="3"/>
  <c r="BE103" i="3" s="1"/>
  <c r="BS104" i="3"/>
  <c r="BS105" i="3"/>
  <c r="BS106" i="3"/>
  <c r="BS107" i="3"/>
  <c r="BE107" i="3" s="1"/>
  <c r="BS108" i="3"/>
  <c r="BS109" i="3"/>
  <c r="BS110" i="3"/>
  <c r="BE110" i="3" s="1"/>
  <c r="BS111" i="3"/>
  <c r="BE111" i="3" s="1"/>
  <c r="BS112" i="3"/>
  <c r="BS113" i="3"/>
  <c r="BS116" i="3"/>
  <c r="BS117" i="3"/>
  <c r="BE117" i="3" s="1"/>
  <c r="BS118" i="3"/>
  <c r="BE118" i="3" s="1"/>
  <c r="BS119" i="3"/>
  <c r="BS120" i="3"/>
  <c r="BS121" i="3"/>
  <c r="BS122" i="3"/>
  <c r="BS123" i="3"/>
  <c r="BF123" i="3" s="1"/>
  <c r="BS124" i="3"/>
  <c r="BS125" i="3"/>
  <c r="BE125" i="3" s="1"/>
  <c r="BS126" i="3"/>
  <c r="BE126" i="3" s="1"/>
  <c r="BS128" i="3"/>
  <c r="BS129" i="3"/>
  <c r="BS130" i="3"/>
  <c r="BS132" i="3"/>
  <c r="BS133" i="3"/>
  <c r="BS134" i="3"/>
  <c r="BE134" i="3" s="1"/>
  <c r="BS135" i="3"/>
  <c r="BE135" i="3" s="1"/>
  <c r="BS136" i="3"/>
  <c r="BS137" i="3"/>
  <c r="BS138" i="3"/>
  <c r="BS139" i="3"/>
  <c r="BE139" i="3" s="1"/>
  <c r="BS140" i="3"/>
  <c r="BS141" i="3"/>
  <c r="BS143" i="3"/>
  <c r="BS144" i="3"/>
  <c r="BS145" i="3"/>
  <c r="BS146" i="3"/>
  <c r="BS147" i="3"/>
  <c r="BE147" i="3" s="1"/>
  <c r="BS148" i="3"/>
  <c r="BS149" i="3"/>
  <c r="BS150" i="3"/>
  <c r="BF150" i="3" s="1"/>
  <c r="BS151" i="3"/>
  <c r="BS152" i="3"/>
  <c r="BS153" i="3"/>
  <c r="BS155" i="3"/>
  <c r="BF155" i="3" s="1"/>
  <c r="BS156" i="3"/>
  <c r="BS157" i="3"/>
  <c r="BS158" i="3"/>
  <c r="BE158" i="3" s="1"/>
  <c r="BS159" i="3"/>
  <c r="BS160" i="3"/>
  <c r="BS162" i="3"/>
  <c r="BS163" i="3"/>
  <c r="BE163" i="3" s="1"/>
  <c r="BS165" i="3"/>
  <c r="BS166" i="3"/>
  <c r="BE166" i="3" s="1"/>
  <c r="BS167" i="3"/>
  <c r="BS168" i="3"/>
  <c r="BS169" i="3"/>
  <c r="BS3" i="3"/>
  <c r="BF3" i="3" s="1"/>
  <c r="BF88" i="3"/>
  <c r="AM3" i="1"/>
  <c r="AM2" i="3"/>
  <c r="J172" i="4"/>
  <c r="I172" i="4"/>
  <c r="H172" i="4"/>
  <c r="AU2" i="3"/>
  <c r="A172" i="4"/>
  <c r="B172" i="4"/>
  <c r="C172" i="4"/>
  <c r="BE3" i="3"/>
  <c r="J171" i="4"/>
  <c r="I171" i="4"/>
  <c r="H171" i="4"/>
  <c r="C171" i="4"/>
  <c r="B171" i="4"/>
  <c r="A171" i="4"/>
  <c r="BR3" i="3"/>
  <c r="BH3" i="3"/>
  <c r="BL3" i="3"/>
  <c r="BK3" i="3"/>
  <c r="BJ3" i="3"/>
  <c r="BI3" i="3"/>
  <c r="BM3" i="3"/>
  <c r="BE4" i="3"/>
  <c r="BF4" i="3"/>
  <c r="BE5" i="3"/>
  <c r="BF5" i="3"/>
  <c r="BE8" i="3"/>
  <c r="BF8" i="3"/>
  <c r="BE9" i="3"/>
  <c r="BF9" i="3"/>
  <c r="BE10" i="3"/>
  <c r="BF10" i="3"/>
  <c r="BE12" i="3"/>
  <c r="BF12" i="3"/>
  <c r="BE13" i="3"/>
  <c r="BF13" i="3"/>
  <c r="BE15" i="3"/>
  <c r="BE17" i="3"/>
  <c r="BF17" i="3"/>
  <c r="BE19" i="3"/>
  <c r="BE20" i="3"/>
  <c r="BF20" i="3"/>
  <c r="BE21" i="3"/>
  <c r="BE23" i="3"/>
  <c r="BE24" i="3"/>
  <c r="BF24" i="3"/>
  <c r="BE25" i="3"/>
  <c r="BF25" i="3"/>
  <c r="BE26" i="3"/>
  <c r="BF26" i="3"/>
  <c r="BE27" i="3"/>
  <c r="BE29" i="3"/>
  <c r="BF29" i="3"/>
  <c r="BE31" i="3"/>
  <c r="BE32" i="3"/>
  <c r="BF32" i="3"/>
  <c r="BE33" i="3"/>
  <c r="BF33" i="3"/>
  <c r="BE34" i="3"/>
  <c r="BF34" i="3"/>
  <c r="BE36" i="3"/>
  <c r="BF36" i="3"/>
  <c r="BE37" i="3"/>
  <c r="BF37" i="3"/>
  <c r="BE39" i="3"/>
  <c r="BE40" i="3"/>
  <c r="BF40" i="3"/>
  <c r="BE41" i="3"/>
  <c r="BF41" i="3"/>
  <c r="BE42" i="3"/>
  <c r="BF42" i="3"/>
  <c r="BE44" i="3"/>
  <c r="BF44" i="3"/>
  <c r="BE45" i="3"/>
  <c r="BF45" i="3"/>
  <c r="BE48" i="3"/>
  <c r="BF48" i="3"/>
  <c r="BE49" i="3"/>
  <c r="BF49" i="3"/>
  <c r="BE52" i="3"/>
  <c r="BF52" i="3"/>
  <c r="BF54" i="3"/>
  <c r="BE55" i="3"/>
  <c r="BF55" i="3"/>
  <c r="BE56" i="3"/>
  <c r="BF56" i="3"/>
  <c r="BE57" i="3"/>
  <c r="BF57" i="3"/>
  <c r="BE58" i="3"/>
  <c r="BF58" i="3"/>
  <c r="BE60" i="3"/>
  <c r="BF60" i="3"/>
  <c r="BE61" i="3"/>
  <c r="BE63" i="3"/>
  <c r="BF63" i="3"/>
  <c r="BE65" i="3"/>
  <c r="BF65" i="3"/>
  <c r="BE66" i="3"/>
  <c r="BF66" i="3"/>
  <c r="BE67" i="3"/>
  <c r="BE68" i="3"/>
  <c r="BF68" i="3"/>
  <c r="BE69" i="3"/>
  <c r="BF69" i="3"/>
  <c r="BE71" i="3"/>
  <c r="BE72" i="3"/>
  <c r="BF72" i="3"/>
  <c r="BE73" i="3"/>
  <c r="BF73" i="3"/>
  <c r="BE76" i="3"/>
  <c r="BF76" i="3"/>
  <c r="BE77" i="3"/>
  <c r="BF77" i="3"/>
  <c r="BE80" i="3"/>
  <c r="BF80" i="3"/>
  <c r="BE81" i="3"/>
  <c r="BF81" i="3"/>
  <c r="BE82" i="3"/>
  <c r="BF82" i="3"/>
  <c r="BE85" i="3"/>
  <c r="BE86" i="3"/>
  <c r="BE87" i="3"/>
  <c r="BF87" i="3"/>
  <c r="BE88" i="3"/>
  <c r="BE89" i="3"/>
  <c r="BF89" i="3"/>
  <c r="BE90" i="3"/>
  <c r="BF90" i="3"/>
  <c r="BE92" i="3"/>
  <c r="BF92" i="3"/>
  <c r="BE93" i="3"/>
  <c r="BF93" i="3"/>
  <c r="BF94" i="3"/>
  <c r="BE96" i="3"/>
  <c r="BF96" i="3"/>
  <c r="BE97" i="3"/>
  <c r="BF97" i="3"/>
  <c r="BE98" i="3"/>
  <c r="BF98" i="3"/>
  <c r="BF99" i="3"/>
  <c r="BE100" i="3"/>
  <c r="BF100" i="3"/>
  <c r="BE101" i="3"/>
  <c r="BF101" i="3"/>
  <c r="BF103" i="3"/>
  <c r="BE104" i="3"/>
  <c r="BF104" i="3"/>
  <c r="BE105" i="3"/>
  <c r="BF105" i="3"/>
  <c r="BE106" i="3"/>
  <c r="BF106" i="3"/>
  <c r="BF107" i="3"/>
  <c r="BE108" i="3"/>
  <c r="BF108" i="3"/>
  <c r="BE109" i="3"/>
  <c r="BF109" i="3"/>
  <c r="BF111" i="3"/>
  <c r="BE112" i="3"/>
  <c r="BF112" i="3"/>
  <c r="BE113" i="3"/>
  <c r="BF113" i="3"/>
  <c r="BE116" i="3"/>
  <c r="BF116" i="3"/>
  <c r="BF117" i="3"/>
  <c r="BE119" i="3"/>
  <c r="BF119" i="3"/>
  <c r="BE120" i="3"/>
  <c r="BF120" i="3"/>
  <c r="BE121" i="3"/>
  <c r="BF121" i="3"/>
  <c r="BE122" i="3"/>
  <c r="BF122" i="3"/>
  <c r="BE123" i="3"/>
  <c r="BE124" i="3"/>
  <c r="BF124" i="3"/>
  <c r="BF125" i="3"/>
  <c r="BE128" i="3"/>
  <c r="BF128" i="3"/>
  <c r="BE129" i="3"/>
  <c r="BF129" i="3"/>
  <c r="BE130" i="3"/>
  <c r="BF130" i="3"/>
  <c r="BE132" i="3"/>
  <c r="BF132" i="3"/>
  <c r="BE133" i="3"/>
  <c r="BF133" i="3"/>
  <c r="BF135" i="3"/>
  <c r="BE136" i="3"/>
  <c r="BF136" i="3"/>
  <c r="BE137" i="3"/>
  <c r="BF137" i="3"/>
  <c r="BE138" i="3"/>
  <c r="BF138" i="3"/>
  <c r="BF139" i="3"/>
  <c r="BE140" i="3"/>
  <c r="BF140" i="3"/>
  <c r="BE141" i="3"/>
  <c r="BF141" i="3"/>
  <c r="BE143" i="3"/>
  <c r="BF143" i="3"/>
  <c r="BE144" i="3"/>
  <c r="BF144" i="3"/>
  <c r="BE145" i="3"/>
  <c r="BF145" i="3"/>
  <c r="BE146" i="3"/>
  <c r="BF146" i="3"/>
  <c r="BE148" i="3"/>
  <c r="BF148" i="3"/>
  <c r="BE149" i="3"/>
  <c r="BF149" i="3"/>
  <c r="BE150" i="3"/>
  <c r="BE151" i="3"/>
  <c r="BF151" i="3"/>
  <c r="BE152" i="3"/>
  <c r="BF152" i="3"/>
  <c r="BE153" i="3"/>
  <c r="BF153" i="3"/>
  <c r="BE155" i="3"/>
  <c r="BE156" i="3"/>
  <c r="BF156" i="3"/>
  <c r="BE157" i="3"/>
  <c r="BF157" i="3"/>
  <c r="BE159" i="3"/>
  <c r="BF159" i="3"/>
  <c r="BE160" i="3"/>
  <c r="BF160" i="3"/>
  <c r="BE162" i="3"/>
  <c r="BF162" i="3"/>
  <c r="BE165" i="3"/>
  <c r="BF165" i="3"/>
  <c r="BE167" i="3"/>
  <c r="BF167" i="3"/>
  <c r="BE168" i="3"/>
  <c r="BF168" i="3"/>
  <c r="BE169" i="3"/>
  <c r="BF169" i="3"/>
  <c r="BH4" i="3"/>
  <c r="BI4" i="3"/>
  <c r="BJ4" i="3"/>
  <c r="BK4" i="3"/>
  <c r="BL4" i="3"/>
  <c r="BM4" i="3"/>
  <c r="BN4" i="3"/>
  <c r="BO4" i="3"/>
  <c r="BP4" i="3"/>
  <c r="BQ4" i="3"/>
  <c r="BR4" i="3"/>
  <c r="BH5" i="3"/>
  <c r="BI5" i="3"/>
  <c r="BJ5" i="3"/>
  <c r="BK5" i="3"/>
  <c r="BL5" i="3"/>
  <c r="BM5" i="3"/>
  <c r="BN5" i="3"/>
  <c r="BO5" i="3"/>
  <c r="BP5" i="3"/>
  <c r="BQ5" i="3"/>
  <c r="BR5" i="3"/>
  <c r="BH6" i="3"/>
  <c r="BI6" i="3"/>
  <c r="BJ6" i="3"/>
  <c r="BK6" i="3"/>
  <c r="BL6" i="3"/>
  <c r="BM6" i="3"/>
  <c r="BN6" i="3"/>
  <c r="BO6" i="3"/>
  <c r="BP6" i="3"/>
  <c r="BQ6" i="3"/>
  <c r="BR6" i="3"/>
  <c r="BH7" i="3"/>
  <c r="BI7" i="3"/>
  <c r="BJ7" i="3"/>
  <c r="BK7" i="3"/>
  <c r="BL7" i="3"/>
  <c r="BM7" i="3"/>
  <c r="BN7" i="3"/>
  <c r="BO7" i="3"/>
  <c r="BP7" i="3"/>
  <c r="BQ7" i="3"/>
  <c r="BR7" i="3"/>
  <c r="BH8" i="3"/>
  <c r="BI8" i="3"/>
  <c r="BJ8" i="3"/>
  <c r="BK8" i="3"/>
  <c r="BL8" i="3"/>
  <c r="BM8" i="3"/>
  <c r="BN8" i="3"/>
  <c r="BO8" i="3"/>
  <c r="BP8" i="3"/>
  <c r="BQ8" i="3"/>
  <c r="BR8" i="3"/>
  <c r="BH9" i="3"/>
  <c r="BI9" i="3"/>
  <c r="BJ9" i="3"/>
  <c r="BK9" i="3"/>
  <c r="BL9" i="3"/>
  <c r="BM9" i="3"/>
  <c r="BN9" i="3"/>
  <c r="BO9" i="3"/>
  <c r="BP9" i="3"/>
  <c r="BQ9" i="3"/>
  <c r="BR9" i="3"/>
  <c r="BH10" i="3"/>
  <c r="BI10" i="3"/>
  <c r="BJ10" i="3"/>
  <c r="BK10" i="3"/>
  <c r="BL10" i="3"/>
  <c r="BM10" i="3"/>
  <c r="BN10" i="3"/>
  <c r="BO10" i="3"/>
  <c r="BP10" i="3"/>
  <c r="BQ10" i="3"/>
  <c r="BR10" i="3"/>
  <c r="BH11" i="3"/>
  <c r="BI11" i="3"/>
  <c r="BJ11" i="3"/>
  <c r="BK11" i="3"/>
  <c r="BL11" i="3"/>
  <c r="BM11" i="3"/>
  <c r="BN11" i="3"/>
  <c r="BO11" i="3"/>
  <c r="BP11" i="3"/>
  <c r="BQ11" i="3"/>
  <c r="BR11" i="3"/>
  <c r="BH12" i="3"/>
  <c r="BI12" i="3"/>
  <c r="BJ12" i="3"/>
  <c r="BK12" i="3"/>
  <c r="BL12" i="3"/>
  <c r="BM12" i="3"/>
  <c r="BN12" i="3"/>
  <c r="BO12" i="3"/>
  <c r="BP12" i="3"/>
  <c r="BQ12" i="3"/>
  <c r="BR12" i="3"/>
  <c r="BH13" i="3"/>
  <c r="BI13" i="3"/>
  <c r="BJ13" i="3"/>
  <c r="BK13" i="3"/>
  <c r="BL13" i="3"/>
  <c r="BM13" i="3"/>
  <c r="BN13" i="3"/>
  <c r="BO13" i="3"/>
  <c r="BP13" i="3"/>
  <c r="BQ13" i="3"/>
  <c r="BR13" i="3"/>
  <c r="BH15" i="3"/>
  <c r="BI15" i="3"/>
  <c r="BJ15" i="3"/>
  <c r="BK15" i="3"/>
  <c r="BL15" i="3"/>
  <c r="BM15" i="3"/>
  <c r="BN15" i="3"/>
  <c r="BO15" i="3"/>
  <c r="BP15" i="3"/>
  <c r="BQ15" i="3"/>
  <c r="BR15" i="3"/>
  <c r="BH17" i="3"/>
  <c r="BI17" i="3"/>
  <c r="BJ17" i="3"/>
  <c r="BK17" i="3"/>
  <c r="BL17" i="3"/>
  <c r="BM17" i="3"/>
  <c r="BN17" i="3"/>
  <c r="BO17" i="3"/>
  <c r="BP17" i="3"/>
  <c r="BQ17" i="3"/>
  <c r="BR17" i="3"/>
  <c r="BH19" i="3"/>
  <c r="BI19" i="3"/>
  <c r="BJ19" i="3"/>
  <c r="BK19" i="3"/>
  <c r="BL19" i="3"/>
  <c r="BM19" i="3"/>
  <c r="BN19" i="3"/>
  <c r="BO19" i="3"/>
  <c r="BP19" i="3"/>
  <c r="BQ19" i="3"/>
  <c r="BR19" i="3"/>
  <c r="BH20" i="3"/>
  <c r="BI20" i="3"/>
  <c r="BJ20" i="3"/>
  <c r="BK20" i="3"/>
  <c r="BL20" i="3"/>
  <c r="BM20" i="3"/>
  <c r="BN20" i="3"/>
  <c r="BO20" i="3"/>
  <c r="BP20" i="3"/>
  <c r="BQ20" i="3"/>
  <c r="BR20" i="3"/>
  <c r="BH21" i="3"/>
  <c r="BI21" i="3"/>
  <c r="BJ21" i="3"/>
  <c r="BK21" i="3"/>
  <c r="BL21" i="3"/>
  <c r="BM21" i="3"/>
  <c r="BN21" i="3"/>
  <c r="BO21" i="3"/>
  <c r="BP21" i="3"/>
  <c r="BQ21" i="3"/>
  <c r="BR21" i="3"/>
  <c r="BH22" i="3"/>
  <c r="BI22" i="3"/>
  <c r="BJ22" i="3"/>
  <c r="BK22" i="3"/>
  <c r="BL22" i="3"/>
  <c r="BM22" i="3"/>
  <c r="BN22" i="3"/>
  <c r="BO22" i="3"/>
  <c r="BP22" i="3"/>
  <c r="BQ22" i="3"/>
  <c r="BR22" i="3"/>
  <c r="BH23" i="3"/>
  <c r="BI23" i="3"/>
  <c r="BJ23" i="3"/>
  <c r="BK23" i="3"/>
  <c r="BL23" i="3"/>
  <c r="BM23" i="3"/>
  <c r="BN23" i="3"/>
  <c r="BO23" i="3"/>
  <c r="BP23" i="3"/>
  <c r="BQ23" i="3"/>
  <c r="BR23" i="3"/>
  <c r="BH24" i="3"/>
  <c r="BI24" i="3"/>
  <c r="BJ24" i="3"/>
  <c r="BK24" i="3"/>
  <c r="BL24" i="3"/>
  <c r="BM24" i="3"/>
  <c r="BN24" i="3"/>
  <c r="BO24" i="3"/>
  <c r="BP24" i="3"/>
  <c r="BQ24" i="3"/>
  <c r="BR24" i="3"/>
  <c r="BH25" i="3"/>
  <c r="BI25" i="3"/>
  <c r="BJ25" i="3"/>
  <c r="BK25" i="3"/>
  <c r="BL25" i="3"/>
  <c r="BM25" i="3"/>
  <c r="BN25" i="3"/>
  <c r="BO25" i="3"/>
  <c r="BP25" i="3"/>
  <c r="BQ25" i="3"/>
  <c r="BR25" i="3"/>
  <c r="BH26" i="3"/>
  <c r="BI26" i="3"/>
  <c r="BJ26" i="3"/>
  <c r="BK26" i="3"/>
  <c r="BL26" i="3"/>
  <c r="BM26" i="3"/>
  <c r="BN26" i="3"/>
  <c r="BO26" i="3"/>
  <c r="BP26" i="3"/>
  <c r="BQ26" i="3"/>
  <c r="BR26" i="3"/>
  <c r="BH27" i="3"/>
  <c r="BI27" i="3"/>
  <c r="BJ27" i="3"/>
  <c r="BK27" i="3"/>
  <c r="BL27" i="3"/>
  <c r="BM27" i="3"/>
  <c r="BN27" i="3"/>
  <c r="BO27" i="3"/>
  <c r="BP27" i="3"/>
  <c r="BQ27" i="3"/>
  <c r="BR27" i="3"/>
  <c r="BH29" i="3"/>
  <c r="BI29" i="3"/>
  <c r="BJ29" i="3"/>
  <c r="BK29" i="3"/>
  <c r="BL29" i="3"/>
  <c r="BM29" i="3"/>
  <c r="BN29" i="3"/>
  <c r="BO29" i="3"/>
  <c r="BP29" i="3"/>
  <c r="BQ29" i="3"/>
  <c r="BR29" i="3"/>
  <c r="BH30" i="3"/>
  <c r="BI30" i="3"/>
  <c r="BJ30" i="3"/>
  <c r="BK30" i="3"/>
  <c r="BL30" i="3"/>
  <c r="BM30" i="3"/>
  <c r="BN30" i="3"/>
  <c r="BO30" i="3"/>
  <c r="BP30" i="3"/>
  <c r="BQ30" i="3"/>
  <c r="BR30" i="3"/>
  <c r="BH31" i="3"/>
  <c r="BI31" i="3"/>
  <c r="BJ31" i="3"/>
  <c r="BK31" i="3"/>
  <c r="BL31" i="3"/>
  <c r="BM31" i="3"/>
  <c r="BN31" i="3"/>
  <c r="BO31" i="3"/>
  <c r="BP31" i="3"/>
  <c r="BQ31" i="3"/>
  <c r="BR31" i="3"/>
  <c r="BH32" i="3"/>
  <c r="BI32" i="3"/>
  <c r="BJ32" i="3"/>
  <c r="BK32" i="3"/>
  <c r="BL32" i="3"/>
  <c r="BM32" i="3"/>
  <c r="BN32" i="3"/>
  <c r="BO32" i="3"/>
  <c r="BP32" i="3"/>
  <c r="BQ32" i="3"/>
  <c r="BR32" i="3"/>
  <c r="BH33" i="3"/>
  <c r="BI33" i="3"/>
  <c r="BJ33" i="3"/>
  <c r="BK33" i="3"/>
  <c r="BL33" i="3"/>
  <c r="BM33" i="3"/>
  <c r="BN33" i="3"/>
  <c r="BO33" i="3"/>
  <c r="BP33" i="3"/>
  <c r="BQ33" i="3"/>
  <c r="BR33" i="3"/>
  <c r="BH34" i="3"/>
  <c r="BI34" i="3"/>
  <c r="BJ34" i="3"/>
  <c r="BK34" i="3"/>
  <c r="BL34" i="3"/>
  <c r="BM34" i="3"/>
  <c r="BN34" i="3"/>
  <c r="BO34" i="3"/>
  <c r="BP34" i="3"/>
  <c r="BQ34" i="3"/>
  <c r="BR34" i="3"/>
  <c r="BH35" i="3"/>
  <c r="BI35" i="3"/>
  <c r="BJ35" i="3"/>
  <c r="BK35" i="3"/>
  <c r="BL35" i="3"/>
  <c r="BM35" i="3"/>
  <c r="BN35" i="3"/>
  <c r="BO35" i="3"/>
  <c r="BP35" i="3"/>
  <c r="BQ35" i="3"/>
  <c r="BR35" i="3"/>
  <c r="BH36" i="3"/>
  <c r="BI36" i="3"/>
  <c r="BJ36" i="3"/>
  <c r="BK36" i="3"/>
  <c r="BL36" i="3"/>
  <c r="BM36" i="3"/>
  <c r="BN36" i="3"/>
  <c r="BO36" i="3"/>
  <c r="BP36" i="3"/>
  <c r="BQ36" i="3"/>
  <c r="BR36" i="3"/>
  <c r="BH37" i="3"/>
  <c r="BI37" i="3"/>
  <c r="BJ37" i="3"/>
  <c r="BK37" i="3"/>
  <c r="BL37" i="3"/>
  <c r="BM37" i="3"/>
  <c r="BN37" i="3"/>
  <c r="BO37" i="3"/>
  <c r="BP37" i="3"/>
  <c r="BQ37" i="3"/>
  <c r="BR37" i="3"/>
  <c r="BH38" i="3"/>
  <c r="BI38" i="3"/>
  <c r="BJ38" i="3"/>
  <c r="BK38" i="3"/>
  <c r="BL38" i="3"/>
  <c r="BM38" i="3"/>
  <c r="BN38" i="3"/>
  <c r="BO38" i="3"/>
  <c r="BP38" i="3"/>
  <c r="BQ38" i="3"/>
  <c r="BR38" i="3"/>
  <c r="BH39" i="3"/>
  <c r="BI39" i="3"/>
  <c r="BJ39" i="3"/>
  <c r="BK39" i="3"/>
  <c r="BL39" i="3"/>
  <c r="BM39" i="3"/>
  <c r="BN39" i="3"/>
  <c r="BO39" i="3"/>
  <c r="BP39" i="3"/>
  <c r="BQ39" i="3"/>
  <c r="BR39" i="3"/>
  <c r="BH40" i="3"/>
  <c r="BI40" i="3"/>
  <c r="BJ40" i="3"/>
  <c r="BK40" i="3"/>
  <c r="BL40" i="3"/>
  <c r="BM40" i="3"/>
  <c r="BN40" i="3"/>
  <c r="BO40" i="3"/>
  <c r="BP40" i="3"/>
  <c r="BQ40" i="3"/>
  <c r="BR40" i="3"/>
  <c r="BH41" i="3"/>
  <c r="BI41" i="3"/>
  <c r="BJ41" i="3"/>
  <c r="BK41" i="3"/>
  <c r="BL41" i="3"/>
  <c r="BM41" i="3"/>
  <c r="BN41" i="3"/>
  <c r="BO41" i="3"/>
  <c r="BP41" i="3"/>
  <c r="BQ41" i="3"/>
  <c r="BR41" i="3"/>
  <c r="BH42" i="3"/>
  <c r="BI42" i="3"/>
  <c r="BJ42" i="3"/>
  <c r="BK42" i="3"/>
  <c r="BL42" i="3"/>
  <c r="BM42" i="3"/>
  <c r="BN42" i="3"/>
  <c r="BO42" i="3"/>
  <c r="BP42" i="3"/>
  <c r="BQ42" i="3"/>
  <c r="BR42" i="3"/>
  <c r="BH43" i="3"/>
  <c r="BI43" i="3"/>
  <c r="BJ43" i="3"/>
  <c r="BK43" i="3"/>
  <c r="BL43" i="3"/>
  <c r="BM43" i="3"/>
  <c r="BN43" i="3"/>
  <c r="BO43" i="3"/>
  <c r="BP43" i="3"/>
  <c r="BQ43" i="3"/>
  <c r="BR43" i="3"/>
  <c r="BH44" i="3"/>
  <c r="BI44" i="3"/>
  <c r="BJ44" i="3"/>
  <c r="BK44" i="3"/>
  <c r="BL44" i="3"/>
  <c r="BM44" i="3"/>
  <c r="BN44" i="3"/>
  <c r="BO44" i="3"/>
  <c r="BP44" i="3"/>
  <c r="BQ44" i="3"/>
  <c r="BR44" i="3"/>
  <c r="BH45" i="3"/>
  <c r="BI45" i="3"/>
  <c r="BJ45" i="3"/>
  <c r="BK45" i="3"/>
  <c r="BL45" i="3"/>
  <c r="BM45" i="3"/>
  <c r="BN45" i="3"/>
  <c r="BO45" i="3"/>
  <c r="BP45" i="3"/>
  <c r="BQ45" i="3"/>
  <c r="BR45" i="3"/>
  <c r="BH48" i="3"/>
  <c r="BI48" i="3"/>
  <c r="BJ48" i="3"/>
  <c r="BK48" i="3"/>
  <c r="BL48" i="3"/>
  <c r="BM48" i="3"/>
  <c r="BN48" i="3"/>
  <c r="BO48" i="3"/>
  <c r="BP48" i="3"/>
  <c r="BQ48" i="3"/>
  <c r="BR48" i="3"/>
  <c r="BH49" i="3"/>
  <c r="BI49" i="3"/>
  <c r="BJ49" i="3"/>
  <c r="BK49" i="3"/>
  <c r="BL49" i="3"/>
  <c r="BM49" i="3"/>
  <c r="BN49" i="3"/>
  <c r="BO49" i="3"/>
  <c r="BP49" i="3"/>
  <c r="BQ49" i="3"/>
  <c r="BR49" i="3"/>
  <c r="BH52" i="3"/>
  <c r="BI52" i="3"/>
  <c r="BJ52" i="3"/>
  <c r="BK52" i="3"/>
  <c r="BL52" i="3"/>
  <c r="BM52" i="3"/>
  <c r="BN52" i="3"/>
  <c r="BO52" i="3"/>
  <c r="BP52" i="3"/>
  <c r="BQ52" i="3"/>
  <c r="BR52" i="3"/>
  <c r="BH54" i="3"/>
  <c r="BI54" i="3"/>
  <c r="BJ54" i="3"/>
  <c r="BK54" i="3"/>
  <c r="BL54" i="3"/>
  <c r="BM54" i="3"/>
  <c r="BN54" i="3"/>
  <c r="BO54" i="3"/>
  <c r="BP54" i="3"/>
  <c r="BQ54" i="3"/>
  <c r="BR54" i="3"/>
  <c r="BH55" i="3"/>
  <c r="BI55" i="3"/>
  <c r="BJ55" i="3"/>
  <c r="BK55" i="3"/>
  <c r="BL55" i="3"/>
  <c r="BM55" i="3"/>
  <c r="BN55" i="3"/>
  <c r="BO55" i="3"/>
  <c r="BP55" i="3"/>
  <c r="BQ55" i="3"/>
  <c r="BR55" i="3"/>
  <c r="BH56" i="3"/>
  <c r="BI56" i="3"/>
  <c r="BJ56" i="3"/>
  <c r="BK56" i="3"/>
  <c r="BL56" i="3"/>
  <c r="BM56" i="3"/>
  <c r="BN56" i="3"/>
  <c r="BO56" i="3"/>
  <c r="BP56" i="3"/>
  <c r="BQ56" i="3"/>
  <c r="BR56" i="3"/>
  <c r="BH57" i="3"/>
  <c r="BI57" i="3"/>
  <c r="BJ57" i="3"/>
  <c r="BK57" i="3"/>
  <c r="BL57" i="3"/>
  <c r="BM57" i="3"/>
  <c r="BN57" i="3"/>
  <c r="BO57" i="3"/>
  <c r="BP57" i="3"/>
  <c r="BQ57" i="3"/>
  <c r="BR57" i="3"/>
  <c r="BH58" i="3"/>
  <c r="BI58" i="3"/>
  <c r="BJ58" i="3"/>
  <c r="BK58" i="3"/>
  <c r="BL58" i="3"/>
  <c r="BM58" i="3"/>
  <c r="BN58" i="3"/>
  <c r="BO58" i="3"/>
  <c r="BP58" i="3"/>
  <c r="BQ58" i="3"/>
  <c r="BR58" i="3"/>
  <c r="BH59" i="3"/>
  <c r="BI59" i="3"/>
  <c r="BJ59" i="3"/>
  <c r="BK59" i="3"/>
  <c r="BL59" i="3"/>
  <c r="BM59" i="3"/>
  <c r="BN59" i="3"/>
  <c r="BO59" i="3"/>
  <c r="BP59" i="3"/>
  <c r="BQ59" i="3"/>
  <c r="BR59" i="3"/>
  <c r="BH60" i="3"/>
  <c r="BI60" i="3"/>
  <c r="BJ60" i="3"/>
  <c r="BK60" i="3"/>
  <c r="BL60" i="3"/>
  <c r="BM60" i="3"/>
  <c r="BN60" i="3"/>
  <c r="BO60" i="3"/>
  <c r="BP60" i="3"/>
  <c r="BQ60" i="3"/>
  <c r="BR60" i="3"/>
  <c r="BH61" i="3"/>
  <c r="BI61" i="3"/>
  <c r="BJ61" i="3"/>
  <c r="BK61" i="3"/>
  <c r="BL61" i="3"/>
  <c r="BM61" i="3"/>
  <c r="BN61" i="3"/>
  <c r="BO61" i="3"/>
  <c r="BP61" i="3"/>
  <c r="BQ61" i="3"/>
  <c r="BR61" i="3"/>
  <c r="BH63" i="3"/>
  <c r="BI63" i="3"/>
  <c r="BJ63" i="3"/>
  <c r="BK63" i="3"/>
  <c r="BL63" i="3"/>
  <c r="BM63" i="3"/>
  <c r="BN63" i="3"/>
  <c r="BO63" i="3"/>
  <c r="BP63" i="3"/>
  <c r="BQ63" i="3"/>
  <c r="BR63" i="3"/>
  <c r="BH65" i="3"/>
  <c r="BI65" i="3"/>
  <c r="BJ65" i="3"/>
  <c r="BK65" i="3"/>
  <c r="BL65" i="3"/>
  <c r="BM65" i="3"/>
  <c r="BN65" i="3"/>
  <c r="BO65" i="3"/>
  <c r="BP65" i="3"/>
  <c r="BQ65" i="3"/>
  <c r="BR65" i="3"/>
  <c r="BH66" i="3"/>
  <c r="BI66" i="3"/>
  <c r="BJ66" i="3"/>
  <c r="BK66" i="3"/>
  <c r="BL66" i="3"/>
  <c r="BM66" i="3"/>
  <c r="BN66" i="3"/>
  <c r="BO66" i="3"/>
  <c r="BP66" i="3"/>
  <c r="BQ66" i="3"/>
  <c r="BR66" i="3"/>
  <c r="BH67" i="3"/>
  <c r="BI67" i="3"/>
  <c r="BJ67" i="3"/>
  <c r="BK67" i="3"/>
  <c r="BL67" i="3"/>
  <c r="BM67" i="3"/>
  <c r="BN67" i="3"/>
  <c r="BO67" i="3"/>
  <c r="BP67" i="3"/>
  <c r="BQ67" i="3"/>
  <c r="BR67" i="3"/>
  <c r="BH68" i="3"/>
  <c r="BI68" i="3"/>
  <c r="BJ68" i="3"/>
  <c r="BK68" i="3"/>
  <c r="BL68" i="3"/>
  <c r="BM68" i="3"/>
  <c r="BN68" i="3"/>
  <c r="BO68" i="3"/>
  <c r="BP68" i="3"/>
  <c r="BQ68" i="3"/>
  <c r="BR68" i="3"/>
  <c r="BH69" i="3"/>
  <c r="BI69" i="3"/>
  <c r="BJ69" i="3"/>
  <c r="BK69" i="3"/>
  <c r="BL69" i="3"/>
  <c r="BM69" i="3"/>
  <c r="BN69" i="3"/>
  <c r="BO69" i="3"/>
  <c r="BP69" i="3"/>
  <c r="BQ69" i="3"/>
  <c r="BR69" i="3"/>
  <c r="BH70" i="3"/>
  <c r="BI70" i="3"/>
  <c r="BJ70" i="3"/>
  <c r="BK70" i="3"/>
  <c r="BL70" i="3"/>
  <c r="BM70" i="3"/>
  <c r="BN70" i="3"/>
  <c r="BO70" i="3"/>
  <c r="BP70" i="3"/>
  <c r="BQ70" i="3"/>
  <c r="BR70" i="3"/>
  <c r="BH71" i="3"/>
  <c r="BI71" i="3"/>
  <c r="BJ71" i="3"/>
  <c r="BK71" i="3"/>
  <c r="BL71" i="3"/>
  <c r="BM71" i="3"/>
  <c r="BN71" i="3"/>
  <c r="BO71" i="3"/>
  <c r="BP71" i="3"/>
  <c r="BQ71" i="3"/>
  <c r="BR71" i="3"/>
  <c r="BH72" i="3"/>
  <c r="BI72" i="3"/>
  <c r="BJ72" i="3"/>
  <c r="BK72" i="3"/>
  <c r="BL72" i="3"/>
  <c r="BM72" i="3"/>
  <c r="BN72" i="3"/>
  <c r="BO72" i="3"/>
  <c r="BP72" i="3"/>
  <c r="BQ72" i="3"/>
  <c r="BR72" i="3"/>
  <c r="BH73" i="3"/>
  <c r="BI73" i="3"/>
  <c r="BJ73" i="3"/>
  <c r="BK73" i="3"/>
  <c r="BL73" i="3"/>
  <c r="BM73" i="3"/>
  <c r="BN73" i="3"/>
  <c r="BO73" i="3"/>
  <c r="BP73" i="3"/>
  <c r="BQ73" i="3"/>
  <c r="BR73" i="3"/>
  <c r="BH75" i="3"/>
  <c r="BI75" i="3"/>
  <c r="BJ75" i="3"/>
  <c r="BK75" i="3"/>
  <c r="BL75" i="3"/>
  <c r="BM75" i="3"/>
  <c r="BN75" i="3"/>
  <c r="BO75" i="3"/>
  <c r="BP75" i="3"/>
  <c r="BQ75" i="3"/>
  <c r="BR75" i="3"/>
  <c r="BH76" i="3"/>
  <c r="BI76" i="3"/>
  <c r="BJ76" i="3"/>
  <c r="BK76" i="3"/>
  <c r="BL76" i="3"/>
  <c r="BM76" i="3"/>
  <c r="BN76" i="3"/>
  <c r="BO76" i="3"/>
  <c r="BP76" i="3"/>
  <c r="BQ76" i="3"/>
  <c r="BR76" i="3"/>
  <c r="BH77" i="3"/>
  <c r="BI77" i="3"/>
  <c r="BJ77" i="3"/>
  <c r="BK77" i="3"/>
  <c r="BL77" i="3"/>
  <c r="BM77" i="3"/>
  <c r="BN77" i="3"/>
  <c r="BO77" i="3"/>
  <c r="BP77" i="3"/>
  <c r="BQ77" i="3"/>
  <c r="BR77" i="3"/>
  <c r="BH78" i="3"/>
  <c r="BI78" i="3"/>
  <c r="BJ78" i="3"/>
  <c r="BK78" i="3"/>
  <c r="BL78" i="3"/>
  <c r="BM78" i="3"/>
  <c r="BN78" i="3"/>
  <c r="BO78" i="3"/>
  <c r="BP78" i="3"/>
  <c r="BQ78" i="3"/>
  <c r="BR78" i="3"/>
  <c r="BH80" i="3"/>
  <c r="BI80" i="3"/>
  <c r="BJ80" i="3"/>
  <c r="BK80" i="3"/>
  <c r="BL80" i="3"/>
  <c r="BM80" i="3"/>
  <c r="BN80" i="3"/>
  <c r="BO80" i="3"/>
  <c r="BP80" i="3"/>
  <c r="BQ80" i="3"/>
  <c r="BR80" i="3"/>
  <c r="BH81" i="3"/>
  <c r="BI81" i="3"/>
  <c r="BJ81" i="3"/>
  <c r="BK81" i="3"/>
  <c r="BL81" i="3"/>
  <c r="BM81" i="3"/>
  <c r="BN81" i="3"/>
  <c r="BO81" i="3"/>
  <c r="BP81" i="3"/>
  <c r="BQ81" i="3"/>
  <c r="BR81" i="3"/>
  <c r="BH82" i="3"/>
  <c r="BI82" i="3"/>
  <c r="BJ82" i="3"/>
  <c r="BK82" i="3"/>
  <c r="BL82" i="3"/>
  <c r="BM82" i="3"/>
  <c r="BN82" i="3"/>
  <c r="BO82" i="3"/>
  <c r="BP82" i="3"/>
  <c r="BQ82" i="3"/>
  <c r="BR82" i="3"/>
  <c r="BH83" i="3"/>
  <c r="BI83" i="3"/>
  <c r="BJ83" i="3"/>
  <c r="BK83" i="3"/>
  <c r="BL83" i="3"/>
  <c r="BM83" i="3"/>
  <c r="BN83" i="3"/>
  <c r="BO83" i="3"/>
  <c r="BP83" i="3"/>
  <c r="BQ83" i="3"/>
  <c r="BR83" i="3"/>
  <c r="BH85" i="3"/>
  <c r="BI85" i="3"/>
  <c r="BJ85" i="3"/>
  <c r="BK85" i="3"/>
  <c r="BL85" i="3"/>
  <c r="BM85" i="3"/>
  <c r="BN85" i="3"/>
  <c r="BO85" i="3"/>
  <c r="BP85" i="3"/>
  <c r="BQ85" i="3"/>
  <c r="BR85" i="3"/>
  <c r="BH86" i="3"/>
  <c r="BI86" i="3"/>
  <c r="BJ86" i="3"/>
  <c r="BK86" i="3"/>
  <c r="BL86" i="3"/>
  <c r="BM86" i="3"/>
  <c r="BN86" i="3"/>
  <c r="BO86" i="3"/>
  <c r="BP86" i="3"/>
  <c r="BQ86" i="3"/>
  <c r="BR86" i="3"/>
  <c r="BH87" i="3"/>
  <c r="BI87" i="3"/>
  <c r="BJ87" i="3"/>
  <c r="BK87" i="3"/>
  <c r="BL87" i="3"/>
  <c r="BM87" i="3"/>
  <c r="BN87" i="3"/>
  <c r="BO87" i="3"/>
  <c r="BP87" i="3"/>
  <c r="BQ87" i="3"/>
  <c r="BR87" i="3"/>
  <c r="BH88" i="3"/>
  <c r="BI88" i="3"/>
  <c r="BJ88" i="3"/>
  <c r="BK88" i="3"/>
  <c r="BL88" i="3"/>
  <c r="BM88" i="3"/>
  <c r="BN88" i="3"/>
  <c r="BO88" i="3"/>
  <c r="BP88" i="3"/>
  <c r="BQ88" i="3"/>
  <c r="BR88" i="3"/>
  <c r="BH89" i="3"/>
  <c r="BI89" i="3"/>
  <c r="BJ89" i="3"/>
  <c r="BK89" i="3"/>
  <c r="BL89" i="3"/>
  <c r="BM89" i="3"/>
  <c r="BN89" i="3"/>
  <c r="BO89" i="3"/>
  <c r="BP89" i="3"/>
  <c r="BQ89" i="3"/>
  <c r="BR89" i="3"/>
  <c r="BH90" i="3"/>
  <c r="BI90" i="3"/>
  <c r="BJ90" i="3"/>
  <c r="BK90" i="3"/>
  <c r="BL90" i="3"/>
  <c r="BM90" i="3"/>
  <c r="BN90" i="3"/>
  <c r="BO90" i="3"/>
  <c r="BP90" i="3"/>
  <c r="BQ90" i="3"/>
  <c r="BR90" i="3"/>
  <c r="BH91" i="3"/>
  <c r="BI91" i="3"/>
  <c r="BJ91" i="3"/>
  <c r="BK91" i="3"/>
  <c r="BL91" i="3"/>
  <c r="BM91" i="3"/>
  <c r="BN91" i="3"/>
  <c r="BO91" i="3"/>
  <c r="BP91" i="3"/>
  <c r="BQ91" i="3"/>
  <c r="BR91" i="3"/>
  <c r="BH92" i="3"/>
  <c r="BI92" i="3"/>
  <c r="BJ92" i="3"/>
  <c r="BK92" i="3"/>
  <c r="BL92" i="3"/>
  <c r="BM92" i="3"/>
  <c r="BN92" i="3"/>
  <c r="BO92" i="3"/>
  <c r="BP92" i="3"/>
  <c r="BQ92" i="3"/>
  <c r="BR92" i="3"/>
  <c r="BH93" i="3"/>
  <c r="BI93" i="3"/>
  <c r="BJ93" i="3"/>
  <c r="BK93" i="3"/>
  <c r="BL93" i="3"/>
  <c r="BM93" i="3"/>
  <c r="BN93" i="3"/>
  <c r="BO93" i="3"/>
  <c r="BP93" i="3"/>
  <c r="BQ93" i="3"/>
  <c r="BR93" i="3"/>
  <c r="BH94" i="3"/>
  <c r="BI94" i="3"/>
  <c r="BJ94" i="3"/>
  <c r="BK94" i="3"/>
  <c r="BL94" i="3"/>
  <c r="BM94" i="3"/>
  <c r="BN94" i="3"/>
  <c r="BO94" i="3"/>
  <c r="BP94" i="3"/>
  <c r="BQ94" i="3"/>
  <c r="BR94" i="3"/>
  <c r="BH96" i="3"/>
  <c r="BI96" i="3"/>
  <c r="BJ96" i="3"/>
  <c r="BK96" i="3"/>
  <c r="BL96" i="3"/>
  <c r="BM96" i="3"/>
  <c r="BN96" i="3"/>
  <c r="BO96" i="3"/>
  <c r="BP96" i="3"/>
  <c r="BQ96" i="3"/>
  <c r="BR96" i="3"/>
  <c r="BH97" i="3"/>
  <c r="BI97" i="3"/>
  <c r="BJ97" i="3"/>
  <c r="BK97" i="3"/>
  <c r="BL97" i="3"/>
  <c r="BM97" i="3"/>
  <c r="BN97" i="3"/>
  <c r="BO97" i="3"/>
  <c r="BP97" i="3"/>
  <c r="BQ97" i="3"/>
  <c r="BR97" i="3"/>
  <c r="BH98" i="3"/>
  <c r="BI98" i="3"/>
  <c r="BJ98" i="3"/>
  <c r="BK98" i="3"/>
  <c r="BL98" i="3"/>
  <c r="BM98" i="3"/>
  <c r="BN98" i="3"/>
  <c r="BO98" i="3"/>
  <c r="BP98" i="3"/>
  <c r="BQ98" i="3"/>
  <c r="BR98" i="3"/>
  <c r="BH99" i="3"/>
  <c r="BI99" i="3"/>
  <c r="BJ99" i="3"/>
  <c r="BK99" i="3"/>
  <c r="BL99" i="3"/>
  <c r="BM99" i="3"/>
  <c r="BN99" i="3"/>
  <c r="BO99" i="3"/>
  <c r="BP99" i="3"/>
  <c r="BQ99" i="3"/>
  <c r="BR99" i="3"/>
  <c r="BH100" i="3"/>
  <c r="BI100" i="3"/>
  <c r="BJ100" i="3"/>
  <c r="BK100" i="3"/>
  <c r="BL100" i="3"/>
  <c r="BM100" i="3"/>
  <c r="BN100" i="3"/>
  <c r="BO100" i="3"/>
  <c r="BP100" i="3"/>
  <c r="BQ100" i="3"/>
  <c r="BR100" i="3"/>
  <c r="BH101" i="3"/>
  <c r="BI101" i="3"/>
  <c r="BJ101" i="3"/>
  <c r="BK101" i="3"/>
  <c r="BL101" i="3"/>
  <c r="BM101" i="3"/>
  <c r="BN101" i="3"/>
  <c r="BO101" i="3"/>
  <c r="BP101" i="3"/>
  <c r="BQ101" i="3"/>
  <c r="BR101" i="3"/>
  <c r="BH102" i="3"/>
  <c r="BI102" i="3"/>
  <c r="BJ102" i="3"/>
  <c r="BK102" i="3"/>
  <c r="BL102" i="3"/>
  <c r="BM102" i="3"/>
  <c r="BN102" i="3"/>
  <c r="BO102" i="3"/>
  <c r="BP102" i="3"/>
  <c r="BQ102" i="3"/>
  <c r="BR102" i="3"/>
  <c r="BH103" i="3"/>
  <c r="BI103" i="3"/>
  <c r="BJ103" i="3"/>
  <c r="BK103" i="3"/>
  <c r="BL103" i="3"/>
  <c r="BM103" i="3"/>
  <c r="BN103" i="3"/>
  <c r="BO103" i="3"/>
  <c r="BP103" i="3"/>
  <c r="BQ103" i="3"/>
  <c r="BR103" i="3"/>
  <c r="BH104" i="3"/>
  <c r="BI104" i="3"/>
  <c r="BJ104" i="3"/>
  <c r="BK104" i="3"/>
  <c r="BL104" i="3"/>
  <c r="BM104" i="3"/>
  <c r="BN104" i="3"/>
  <c r="BO104" i="3"/>
  <c r="BP104" i="3"/>
  <c r="BQ104" i="3"/>
  <c r="BR104" i="3"/>
  <c r="BH105" i="3"/>
  <c r="BI105" i="3"/>
  <c r="BJ105" i="3"/>
  <c r="BK105" i="3"/>
  <c r="BL105" i="3"/>
  <c r="BM105" i="3"/>
  <c r="BN105" i="3"/>
  <c r="BO105" i="3"/>
  <c r="BP105" i="3"/>
  <c r="BQ105" i="3"/>
  <c r="BR105" i="3"/>
  <c r="BH106" i="3"/>
  <c r="BI106" i="3"/>
  <c r="BJ106" i="3"/>
  <c r="BK106" i="3"/>
  <c r="BL106" i="3"/>
  <c r="BM106" i="3"/>
  <c r="BN106" i="3"/>
  <c r="BO106" i="3"/>
  <c r="BP106" i="3"/>
  <c r="BQ106" i="3"/>
  <c r="BR106" i="3"/>
  <c r="BH107" i="3"/>
  <c r="BI107" i="3"/>
  <c r="BJ107" i="3"/>
  <c r="BK107" i="3"/>
  <c r="BL107" i="3"/>
  <c r="BM107" i="3"/>
  <c r="BN107" i="3"/>
  <c r="BO107" i="3"/>
  <c r="BP107" i="3"/>
  <c r="BQ107" i="3"/>
  <c r="BR107" i="3"/>
  <c r="BH108" i="3"/>
  <c r="BI108" i="3"/>
  <c r="BJ108" i="3"/>
  <c r="BK108" i="3"/>
  <c r="BL108" i="3"/>
  <c r="BM108" i="3"/>
  <c r="BN108" i="3"/>
  <c r="BO108" i="3"/>
  <c r="BP108" i="3"/>
  <c r="BQ108" i="3"/>
  <c r="BR108" i="3"/>
  <c r="BH109" i="3"/>
  <c r="BI109" i="3"/>
  <c r="BJ109" i="3"/>
  <c r="BK109" i="3"/>
  <c r="BL109" i="3"/>
  <c r="BM109" i="3"/>
  <c r="BN109" i="3"/>
  <c r="BO109" i="3"/>
  <c r="BP109" i="3"/>
  <c r="BQ109" i="3"/>
  <c r="BR109" i="3"/>
  <c r="BH110" i="3"/>
  <c r="BI110" i="3"/>
  <c r="BJ110" i="3"/>
  <c r="BK110" i="3"/>
  <c r="BL110" i="3"/>
  <c r="BM110" i="3"/>
  <c r="BN110" i="3"/>
  <c r="BO110" i="3"/>
  <c r="BP110" i="3"/>
  <c r="BQ110" i="3"/>
  <c r="BR110" i="3"/>
  <c r="BH111" i="3"/>
  <c r="BI111" i="3"/>
  <c r="BJ111" i="3"/>
  <c r="BK111" i="3"/>
  <c r="BL111" i="3"/>
  <c r="BM111" i="3"/>
  <c r="BN111" i="3"/>
  <c r="BO111" i="3"/>
  <c r="BP111" i="3"/>
  <c r="BQ111" i="3"/>
  <c r="BR111" i="3"/>
  <c r="BH112" i="3"/>
  <c r="BI112" i="3"/>
  <c r="BJ112" i="3"/>
  <c r="BK112" i="3"/>
  <c r="BL112" i="3"/>
  <c r="BM112" i="3"/>
  <c r="BN112" i="3"/>
  <c r="BO112" i="3"/>
  <c r="BP112" i="3"/>
  <c r="BQ112" i="3"/>
  <c r="BR112" i="3"/>
  <c r="BH113" i="3"/>
  <c r="BI113" i="3"/>
  <c r="BJ113" i="3"/>
  <c r="BK113" i="3"/>
  <c r="BL113" i="3"/>
  <c r="BM113" i="3"/>
  <c r="BN113" i="3"/>
  <c r="BO113" i="3"/>
  <c r="BP113" i="3"/>
  <c r="BQ113" i="3"/>
  <c r="BR113" i="3"/>
  <c r="BH116" i="3"/>
  <c r="BI116" i="3"/>
  <c r="BJ116" i="3"/>
  <c r="BK116" i="3"/>
  <c r="BL116" i="3"/>
  <c r="BM116" i="3"/>
  <c r="BN116" i="3"/>
  <c r="BO116" i="3"/>
  <c r="BP116" i="3"/>
  <c r="BQ116" i="3"/>
  <c r="BR116" i="3"/>
  <c r="BH117" i="3"/>
  <c r="BI117" i="3"/>
  <c r="BJ117" i="3"/>
  <c r="BK117" i="3"/>
  <c r="BL117" i="3"/>
  <c r="BM117" i="3"/>
  <c r="BN117" i="3"/>
  <c r="BO117" i="3"/>
  <c r="BP117" i="3"/>
  <c r="BQ117" i="3"/>
  <c r="BR117" i="3"/>
  <c r="BH118" i="3"/>
  <c r="BI118" i="3"/>
  <c r="BJ118" i="3"/>
  <c r="BK118" i="3"/>
  <c r="BL118" i="3"/>
  <c r="BM118" i="3"/>
  <c r="BN118" i="3"/>
  <c r="BO118" i="3"/>
  <c r="BP118" i="3"/>
  <c r="BQ118" i="3"/>
  <c r="BR118" i="3"/>
  <c r="BH119" i="3"/>
  <c r="BI119" i="3"/>
  <c r="BJ119" i="3"/>
  <c r="BK119" i="3"/>
  <c r="BL119" i="3"/>
  <c r="BM119" i="3"/>
  <c r="BN119" i="3"/>
  <c r="BO119" i="3"/>
  <c r="BP119" i="3"/>
  <c r="BQ119" i="3"/>
  <c r="BR119" i="3"/>
  <c r="BH120" i="3"/>
  <c r="BI120" i="3"/>
  <c r="BJ120" i="3"/>
  <c r="BK120" i="3"/>
  <c r="BL120" i="3"/>
  <c r="BM120" i="3"/>
  <c r="BN120" i="3"/>
  <c r="BO120" i="3"/>
  <c r="BP120" i="3"/>
  <c r="BQ120" i="3"/>
  <c r="BR120" i="3"/>
  <c r="BH121" i="3"/>
  <c r="BI121" i="3"/>
  <c r="BJ121" i="3"/>
  <c r="BK121" i="3"/>
  <c r="BL121" i="3"/>
  <c r="BM121" i="3"/>
  <c r="BN121" i="3"/>
  <c r="BO121" i="3"/>
  <c r="BP121" i="3"/>
  <c r="BQ121" i="3"/>
  <c r="BR121" i="3"/>
  <c r="BH122" i="3"/>
  <c r="BI122" i="3"/>
  <c r="BJ122" i="3"/>
  <c r="BK122" i="3"/>
  <c r="BL122" i="3"/>
  <c r="BM122" i="3"/>
  <c r="BN122" i="3"/>
  <c r="BO122" i="3"/>
  <c r="BP122" i="3"/>
  <c r="BQ122" i="3"/>
  <c r="BR122" i="3"/>
  <c r="BH123" i="3"/>
  <c r="BI123" i="3"/>
  <c r="BJ123" i="3"/>
  <c r="BK123" i="3"/>
  <c r="BL123" i="3"/>
  <c r="BM123" i="3"/>
  <c r="BN123" i="3"/>
  <c r="BO123" i="3"/>
  <c r="BP123" i="3"/>
  <c r="BQ123" i="3"/>
  <c r="BR123" i="3"/>
  <c r="BH124" i="3"/>
  <c r="BI124" i="3"/>
  <c r="BJ124" i="3"/>
  <c r="BK124" i="3"/>
  <c r="BL124" i="3"/>
  <c r="BM124" i="3"/>
  <c r="BN124" i="3"/>
  <c r="BO124" i="3"/>
  <c r="BP124" i="3"/>
  <c r="BQ124" i="3"/>
  <c r="BR124" i="3"/>
  <c r="BH125" i="3"/>
  <c r="BI125" i="3"/>
  <c r="BJ125" i="3"/>
  <c r="BK125" i="3"/>
  <c r="BL125" i="3"/>
  <c r="BM125" i="3"/>
  <c r="BN125" i="3"/>
  <c r="BO125" i="3"/>
  <c r="BP125" i="3"/>
  <c r="BQ125" i="3"/>
  <c r="BR125" i="3"/>
  <c r="BH126" i="3"/>
  <c r="BI126" i="3"/>
  <c r="BJ126" i="3"/>
  <c r="BK126" i="3"/>
  <c r="BL126" i="3"/>
  <c r="BM126" i="3"/>
  <c r="BN126" i="3"/>
  <c r="BO126" i="3"/>
  <c r="BP126" i="3"/>
  <c r="BQ126" i="3"/>
  <c r="BR126" i="3"/>
  <c r="BH128" i="3"/>
  <c r="BI128" i="3"/>
  <c r="BJ128" i="3"/>
  <c r="BK128" i="3"/>
  <c r="BL128" i="3"/>
  <c r="BM128" i="3"/>
  <c r="BN128" i="3"/>
  <c r="BO128" i="3"/>
  <c r="BP128" i="3"/>
  <c r="BQ128" i="3"/>
  <c r="BR128" i="3"/>
  <c r="BH129" i="3"/>
  <c r="BI129" i="3"/>
  <c r="BJ129" i="3"/>
  <c r="BK129" i="3"/>
  <c r="BL129" i="3"/>
  <c r="BM129" i="3"/>
  <c r="BN129" i="3"/>
  <c r="BO129" i="3"/>
  <c r="BP129" i="3"/>
  <c r="BQ129" i="3"/>
  <c r="BR129" i="3"/>
  <c r="BH130" i="3"/>
  <c r="BI130" i="3"/>
  <c r="BJ130" i="3"/>
  <c r="BK130" i="3"/>
  <c r="BL130" i="3"/>
  <c r="BM130" i="3"/>
  <c r="BN130" i="3"/>
  <c r="BO130" i="3"/>
  <c r="BP130" i="3"/>
  <c r="BQ130" i="3"/>
  <c r="BR130" i="3"/>
  <c r="BH132" i="3"/>
  <c r="BI132" i="3"/>
  <c r="BJ132" i="3"/>
  <c r="BK132" i="3"/>
  <c r="BL132" i="3"/>
  <c r="BM132" i="3"/>
  <c r="BN132" i="3"/>
  <c r="BO132" i="3"/>
  <c r="BP132" i="3"/>
  <c r="BQ132" i="3"/>
  <c r="BR132" i="3"/>
  <c r="BH133" i="3"/>
  <c r="BI133" i="3"/>
  <c r="BJ133" i="3"/>
  <c r="BK133" i="3"/>
  <c r="BL133" i="3"/>
  <c r="BM133" i="3"/>
  <c r="BN133" i="3"/>
  <c r="BO133" i="3"/>
  <c r="BP133" i="3"/>
  <c r="BQ133" i="3"/>
  <c r="BR133" i="3"/>
  <c r="BH134" i="3"/>
  <c r="BI134" i="3"/>
  <c r="BJ134" i="3"/>
  <c r="BK134" i="3"/>
  <c r="BL134" i="3"/>
  <c r="BM134" i="3"/>
  <c r="BN134" i="3"/>
  <c r="BO134" i="3"/>
  <c r="BP134" i="3"/>
  <c r="BQ134" i="3"/>
  <c r="BR134" i="3"/>
  <c r="BH135" i="3"/>
  <c r="BI135" i="3"/>
  <c r="BJ135" i="3"/>
  <c r="BK135" i="3"/>
  <c r="BL135" i="3"/>
  <c r="BM135" i="3"/>
  <c r="BN135" i="3"/>
  <c r="BO135" i="3"/>
  <c r="BP135" i="3"/>
  <c r="BQ135" i="3"/>
  <c r="BR135" i="3"/>
  <c r="BH136" i="3"/>
  <c r="BI136" i="3"/>
  <c r="BJ136" i="3"/>
  <c r="BK136" i="3"/>
  <c r="BL136" i="3"/>
  <c r="BM136" i="3"/>
  <c r="BN136" i="3"/>
  <c r="BO136" i="3"/>
  <c r="BP136" i="3"/>
  <c r="BQ136" i="3"/>
  <c r="BR136" i="3"/>
  <c r="BH137" i="3"/>
  <c r="BI137" i="3"/>
  <c r="BJ137" i="3"/>
  <c r="BK137" i="3"/>
  <c r="BL137" i="3"/>
  <c r="BM137" i="3"/>
  <c r="BN137" i="3"/>
  <c r="BO137" i="3"/>
  <c r="BP137" i="3"/>
  <c r="BQ137" i="3"/>
  <c r="BR137" i="3"/>
  <c r="BH138" i="3"/>
  <c r="BI138" i="3"/>
  <c r="BJ138" i="3"/>
  <c r="BK138" i="3"/>
  <c r="BL138" i="3"/>
  <c r="BM138" i="3"/>
  <c r="BN138" i="3"/>
  <c r="BO138" i="3"/>
  <c r="BP138" i="3"/>
  <c r="BQ138" i="3"/>
  <c r="BR138" i="3"/>
  <c r="BH139" i="3"/>
  <c r="BI139" i="3"/>
  <c r="BJ139" i="3"/>
  <c r="BK139" i="3"/>
  <c r="BL139" i="3"/>
  <c r="BM139" i="3"/>
  <c r="BN139" i="3"/>
  <c r="BO139" i="3"/>
  <c r="BP139" i="3"/>
  <c r="BQ139" i="3"/>
  <c r="BR139" i="3"/>
  <c r="BH140" i="3"/>
  <c r="BI140" i="3"/>
  <c r="BJ140" i="3"/>
  <c r="BK140" i="3"/>
  <c r="BL140" i="3"/>
  <c r="BM140" i="3"/>
  <c r="BN140" i="3"/>
  <c r="BO140" i="3"/>
  <c r="BP140" i="3"/>
  <c r="BQ140" i="3"/>
  <c r="BR140" i="3"/>
  <c r="BH141" i="3"/>
  <c r="BI141" i="3"/>
  <c r="BJ141" i="3"/>
  <c r="BK141" i="3"/>
  <c r="BL141" i="3"/>
  <c r="BM141" i="3"/>
  <c r="BN141" i="3"/>
  <c r="BO141" i="3"/>
  <c r="BP141" i="3"/>
  <c r="BQ141" i="3"/>
  <c r="BR141" i="3"/>
  <c r="BH143" i="3"/>
  <c r="BI143" i="3"/>
  <c r="BJ143" i="3"/>
  <c r="BK143" i="3"/>
  <c r="BL143" i="3"/>
  <c r="BM143" i="3"/>
  <c r="BN143" i="3"/>
  <c r="BO143" i="3"/>
  <c r="BP143" i="3"/>
  <c r="BQ143" i="3"/>
  <c r="BR143" i="3"/>
  <c r="BH144" i="3"/>
  <c r="BI144" i="3"/>
  <c r="BJ144" i="3"/>
  <c r="BK144" i="3"/>
  <c r="BL144" i="3"/>
  <c r="BM144" i="3"/>
  <c r="BN144" i="3"/>
  <c r="BO144" i="3"/>
  <c r="BP144" i="3"/>
  <c r="BQ144" i="3"/>
  <c r="BR144" i="3"/>
  <c r="BH145" i="3"/>
  <c r="BI145" i="3"/>
  <c r="BJ145" i="3"/>
  <c r="BK145" i="3"/>
  <c r="BL145" i="3"/>
  <c r="BM145" i="3"/>
  <c r="BN145" i="3"/>
  <c r="BO145" i="3"/>
  <c r="BP145" i="3"/>
  <c r="BQ145" i="3"/>
  <c r="BR145" i="3"/>
  <c r="BH146" i="3"/>
  <c r="BI146" i="3"/>
  <c r="BJ146" i="3"/>
  <c r="BK146" i="3"/>
  <c r="BL146" i="3"/>
  <c r="BM146" i="3"/>
  <c r="BN146" i="3"/>
  <c r="BO146" i="3"/>
  <c r="BP146" i="3"/>
  <c r="BQ146" i="3"/>
  <c r="BR146" i="3"/>
  <c r="BH147" i="3"/>
  <c r="BI147" i="3"/>
  <c r="BJ147" i="3"/>
  <c r="BK147" i="3"/>
  <c r="BL147" i="3"/>
  <c r="BM147" i="3"/>
  <c r="BN147" i="3"/>
  <c r="BO147" i="3"/>
  <c r="BP147" i="3"/>
  <c r="BQ147" i="3"/>
  <c r="BR147" i="3"/>
  <c r="BH148" i="3"/>
  <c r="BI148" i="3"/>
  <c r="BJ148" i="3"/>
  <c r="BK148" i="3"/>
  <c r="BL148" i="3"/>
  <c r="BM148" i="3"/>
  <c r="BN148" i="3"/>
  <c r="BO148" i="3"/>
  <c r="BP148" i="3"/>
  <c r="BQ148" i="3"/>
  <c r="BR148" i="3"/>
  <c r="BH149" i="3"/>
  <c r="BI149" i="3"/>
  <c r="BJ149" i="3"/>
  <c r="BK149" i="3"/>
  <c r="BL149" i="3"/>
  <c r="BM149" i="3"/>
  <c r="BN149" i="3"/>
  <c r="BO149" i="3"/>
  <c r="BP149" i="3"/>
  <c r="BQ149" i="3"/>
  <c r="BR149" i="3"/>
  <c r="BH150" i="3"/>
  <c r="BI150" i="3"/>
  <c r="BJ150" i="3"/>
  <c r="BK150" i="3"/>
  <c r="BL150" i="3"/>
  <c r="BM150" i="3"/>
  <c r="BN150" i="3"/>
  <c r="BO150" i="3"/>
  <c r="BP150" i="3"/>
  <c r="BQ150" i="3"/>
  <c r="BR150" i="3"/>
  <c r="BH151" i="3"/>
  <c r="BI151" i="3"/>
  <c r="BJ151" i="3"/>
  <c r="BK151" i="3"/>
  <c r="BL151" i="3"/>
  <c r="BM151" i="3"/>
  <c r="BN151" i="3"/>
  <c r="BO151" i="3"/>
  <c r="BP151" i="3"/>
  <c r="BQ151" i="3"/>
  <c r="BR151" i="3"/>
  <c r="BH152" i="3"/>
  <c r="BI152" i="3"/>
  <c r="BJ152" i="3"/>
  <c r="BK152" i="3"/>
  <c r="BL152" i="3"/>
  <c r="BM152" i="3"/>
  <c r="BN152" i="3"/>
  <c r="BO152" i="3"/>
  <c r="BP152" i="3"/>
  <c r="BQ152" i="3"/>
  <c r="BR152" i="3"/>
  <c r="BH153" i="3"/>
  <c r="BI153" i="3"/>
  <c r="BJ153" i="3"/>
  <c r="BK153" i="3"/>
  <c r="BL153" i="3"/>
  <c r="BM153" i="3"/>
  <c r="BN153" i="3"/>
  <c r="BO153" i="3"/>
  <c r="BP153" i="3"/>
  <c r="BQ153" i="3"/>
  <c r="BR153" i="3"/>
  <c r="BH155" i="3"/>
  <c r="BI155" i="3"/>
  <c r="BJ155" i="3"/>
  <c r="BK155" i="3"/>
  <c r="BL155" i="3"/>
  <c r="BM155" i="3"/>
  <c r="BN155" i="3"/>
  <c r="BO155" i="3"/>
  <c r="BP155" i="3"/>
  <c r="BQ155" i="3"/>
  <c r="BR155" i="3"/>
  <c r="BH156" i="3"/>
  <c r="BI156" i="3"/>
  <c r="BJ156" i="3"/>
  <c r="BK156" i="3"/>
  <c r="BL156" i="3"/>
  <c r="BM156" i="3"/>
  <c r="BN156" i="3"/>
  <c r="BO156" i="3"/>
  <c r="BP156" i="3"/>
  <c r="BQ156" i="3"/>
  <c r="BR156" i="3"/>
  <c r="BH157" i="3"/>
  <c r="BI157" i="3"/>
  <c r="BJ157" i="3"/>
  <c r="BK157" i="3"/>
  <c r="BL157" i="3"/>
  <c r="BM157" i="3"/>
  <c r="BN157" i="3"/>
  <c r="BO157" i="3"/>
  <c r="BP157" i="3"/>
  <c r="BQ157" i="3"/>
  <c r="BR157" i="3"/>
  <c r="BH158" i="3"/>
  <c r="BI158" i="3"/>
  <c r="BJ158" i="3"/>
  <c r="BK158" i="3"/>
  <c r="BL158" i="3"/>
  <c r="BM158" i="3"/>
  <c r="BN158" i="3"/>
  <c r="BO158" i="3"/>
  <c r="BP158" i="3"/>
  <c r="BQ158" i="3"/>
  <c r="BR158" i="3"/>
  <c r="BH159" i="3"/>
  <c r="BI159" i="3"/>
  <c r="BJ159" i="3"/>
  <c r="BK159" i="3"/>
  <c r="BL159" i="3"/>
  <c r="BM159" i="3"/>
  <c r="BN159" i="3"/>
  <c r="BO159" i="3"/>
  <c r="BP159" i="3"/>
  <c r="BQ159" i="3"/>
  <c r="BR159" i="3"/>
  <c r="BH160" i="3"/>
  <c r="BI160" i="3"/>
  <c r="BJ160" i="3"/>
  <c r="BK160" i="3"/>
  <c r="BL160" i="3"/>
  <c r="BM160" i="3"/>
  <c r="BN160" i="3"/>
  <c r="BO160" i="3"/>
  <c r="BP160" i="3"/>
  <c r="BQ160" i="3"/>
  <c r="BR160" i="3"/>
  <c r="BH162" i="3"/>
  <c r="BI162" i="3"/>
  <c r="BJ162" i="3"/>
  <c r="BK162" i="3"/>
  <c r="BL162" i="3"/>
  <c r="BM162" i="3"/>
  <c r="BN162" i="3"/>
  <c r="BO162" i="3"/>
  <c r="BP162" i="3"/>
  <c r="BQ162" i="3"/>
  <c r="BR162" i="3"/>
  <c r="BH163" i="3"/>
  <c r="BI163" i="3"/>
  <c r="BJ163" i="3"/>
  <c r="BK163" i="3"/>
  <c r="BL163" i="3"/>
  <c r="BM163" i="3"/>
  <c r="BN163" i="3"/>
  <c r="BO163" i="3"/>
  <c r="BP163" i="3"/>
  <c r="BQ163" i="3"/>
  <c r="BR163" i="3"/>
  <c r="BH165" i="3"/>
  <c r="BI165" i="3"/>
  <c r="BJ165" i="3"/>
  <c r="BK165" i="3"/>
  <c r="BL165" i="3"/>
  <c r="BM165" i="3"/>
  <c r="BN165" i="3"/>
  <c r="BO165" i="3"/>
  <c r="BP165" i="3"/>
  <c r="BQ165" i="3"/>
  <c r="BR165" i="3"/>
  <c r="BH166" i="3"/>
  <c r="BI166" i="3"/>
  <c r="BJ166" i="3"/>
  <c r="BK166" i="3"/>
  <c r="BL166" i="3"/>
  <c r="BM166" i="3"/>
  <c r="BN166" i="3"/>
  <c r="BO166" i="3"/>
  <c r="BP166" i="3"/>
  <c r="BQ166" i="3"/>
  <c r="BR166" i="3"/>
  <c r="BH167" i="3"/>
  <c r="BI167" i="3"/>
  <c r="BJ167" i="3"/>
  <c r="BK167" i="3"/>
  <c r="BL167" i="3"/>
  <c r="BM167" i="3"/>
  <c r="BN167" i="3"/>
  <c r="BO167" i="3"/>
  <c r="BP167" i="3"/>
  <c r="BQ167" i="3"/>
  <c r="BR167" i="3"/>
  <c r="BH168" i="3"/>
  <c r="BI168" i="3"/>
  <c r="BJ168" i="3"/>
  <c r="BK168" i="3"/>
  <c r="BL168" i="3"/>
  <c r="BM168" i="3"/>
  <c r="BN168" i="3"/>
  <c r="BO168" i="3"/>
  <c r="BP168" i="3"/>
  <c r="BQ168" i="3"/>
  <c r="BR168" i="3"/>
  <c r="BH169" i="3"/>
  <c r="BI169" i="3"/>
  <c r="BJ169" i="3"/>
  <c r="BK169" i="3"/>
  <c r="BL169" i="3"/>
  <c r="BM169" i="3"/>
  <c r="BN169" i="3"/>
  <c r="BO169" i="3"/>
  <c r="BP169" i="3"/>
  <c r="BQ169" i="3"/>
  <c r="BR169" i="3"/>
  <c r="BQ3" i="3"/>
  <c r="BP3" i="3"/>
  <c r="BO3" i="3"/>
  <c r="BN3" i="3"/>
  <c r="AX3" i="3"/>
  <c r="AX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X63" i="3"/>
  <c r="AX64" i="3"/>
  <c r="AX65" i="3"/>
  <c r="AX66" i="3"/>
  <c r="AX67" i="3"/>
  <c r="AX68" i="3"/>
  <c r="AX69" i="3"/>
  <c r="AX70" i="3"/>
  <c r="AX71" i="3"/>
  <c r="AX72" i="3"/>
  <c r="AX73" i="3"/>
  <c r="AX74" i="3"/>
  <c r="AX75" i="3"/>
  <c r="AX76" i="3"/>
  <c r="AX77" i="3"/>
  <c r="AX78" i="3"/>
  <c r="AX79" i="3"/>
  <c r="AX80" i="3"/>
  <c r="AX81" i="3"/>
  <c r="AX82" i="3"/>
  <c r="AX83" i="3"/>
  <c r="AX84" i="3"/>
  <c r="AX85" i="3"/>
  <c r="AX86" i="3"/>
  <c r="AX87" i="3"/>
  <c r="AX88" i="3"/>
  <c r="AX89" i="3"/>
  <c r="AX90" i="3"/>
  <c r="AX91" i="3"/>
  <c r="AX92" i="3"/>
  <c r="AX93" i="3"/>
  <c r="AX94" i="3"/>
  <c r="AX95" i="3"/>
  <c r="AX96" i="3"/>
  <c r="AX97" i="3"/>
  <c r="AX98" i="3"/>
  <c r="AX99" i="3"/>
  <c r="AX100" i="3"/>
  <c r="AX102" i="3"/>
  <c r="AX103" i="3"/>
  <c r="AX104" i="3"/>
  <c r="AX105" i="3"/>
  <c r="AX106" i="3"/>
  <c r="AX107" i="3"/>
  <c r="AX108" i="3"/>
  <c r="AX109" i="3"/>
  <c r="AX110" i="3"/>
  <c r="AX111" i="3"/>
  <c r="AX112" i="3"/>
  <c r="AX113" i="3"/>
  <c r="AX114" i="3"/>
  <c r="AX115" i="3"/>
  <c r="AX116" i="3"/>
  <c r="AX117" i="3"/>
  <c r="AX118" i="3"/>
  <c r="AX119" i="3"/>
  <c r="AX120" i="3"/>
  <c r="AX121" i="3"/>
  <c r="AX122" i="3"/>
  <c r="AX123" i="3"/>
  <c r="AX124" i="3"/>
  <c r="AX125" i="3"/>
  <c r="AX126" i="3"/>
  <c r="AX127" i="3"/>
  <c r="AX128" i="3"/>
  <c r="AX129" i="3"/>
  <c r="AX130" i="3"/>
  <c r="AX131" i="3"/>
  <c r="AX132" i="3"/>
  <c r="AX133" i="3"/>
  <c r="AX134" i="3"/>
  <c r="AX135" i="3"/>
  <c r="AX136" i="3"/>
  <c r="AX137" i="3"/>
  <c r="AX138" i="3"/>
  <c r="AX139" i="3"/>
  <c r="AX140" i="3"/>
  <c r="AX141" i="3"/>
  <c r="AX142" i="3"/>
  <c r="AX143" i="3"/>
  <c r="AX144" i="3"/>
  <c r="AX145" i="3"/>
  <c r="AX146" i="3"/>
  <c r="AX147" i="3"/>
  <c r="AX148" i="3"/>
  <c r="AX149" i="3"/>
  <c r="AX150" i="3"/>
  <c r="AX151" i="3"/>
  <c r="AX152" i="3"/>
  <c r="AX153" i="3"/>
  <c r="AX154" i="3"/>
  <c r="AX155" i="3"/>
  <c r="AX157" i="3"/>
  <c r="AX158" i="3"/>
  <c r="AX159" i="3"/>
  <c r="AX160" i="3"/>
  <c r="AX161" i="3"/>
  <c r="AX162" i="3"/>
  <c r="AX163" i="3"/>
  <c r="AX164" i="3"/>
  <c r="AX165" i="3"/>
  <c r="AX166" i="3"/>
  <c r="AX167" i="3"/>
  <c r="AX168" i="3"/>
  <c r="AX169" i="3"/>
  <c r="AX2" i="3"/>
  <c r="AU3" i="3"/>
  <c r="AV3" i="3"/>
  <c r="AW3" i="3"/>
  <c r="AU4" i="3"/>
  <c r="AV4" i="3"/>
  <c r="AW4" i="3"/>
  <c r="AU5" i="3"/>
  <c r="AV5" i="3"/>
  <c r="AW5" i="3"/>
  <c r="AU6" i="3"/>
  <c r="AV6" i="3"/>
  <c r="AW6" i="3"/>
  <c r="AU7" i="3"/>
  <c r="AV7" i="3"/>
  <c r="AW7" i="3"/>
  <c r="AU8" i="3"/>
  <c r="AV8" i="3"/>
  <c r="AW8" i="3"/>
  <c r="AU9" i="3"/>
  <c r="AV9" i="3"/>
  <c r="AW9" i="3"/>
  <c r="AU10" i="3"/>
  <c r="AV10" i="3"/>
  <c r="AW10" i="3"/>
  <c r="AU11" i="3"/>
  <c r="AV11" i="3"/>
  <c r="AW11" i="3"/>
  <c r="AU12" i="3"/>
  <c r="AV12" i="3"/>
  <c r="AW12" i="3"/>
  <c r="AU13" i="3"/>
  <c r="AV13" i="3"/>
  <c r="AW13" i="3"/>
  <c r="AU14" i="3"/>
  <c r="AV14" i="3"/>
  <c r="AW14" i="3"/>
  <c r="AU15" i="3"/>
  <c r="AV15" i="3"/>
  <c r="AW15" i="3"/>
  <c r="AU16" i="3"/>
  <c r="AV16" i="3"/>
  <c r="AW16" i="3"/>
  <c r="AU17" i="3"/>
  <c r="AV17" i="3"/>
  <c r="AW17" i="3"/>
  <c r="AU18" i="3"/>
  <c r="AV18" i="3"/>
  <c r="AW18" i="3"/>
  <c r="AU19" i="3"/>
  <c r="AV19" i="3"/>
  <c r="AW19" i="3"/>
  <c r="AU20" i="3"/>
  <c r="AV20" i="3"/>
  <c r="AW20" i="3"/>
  <c r="AU21" i="3"/>
  <c r="AV21" i="3"/>
  <c r="AW21" i="3"/>
  <c r="AU22" i="3"/>
  <c r="AV22" i="3"/>
  <c r="AW22" i="3"/>
  <c r="AU23" i="3"/>
  <c r="AV23" i="3"/>
  <c r="AW23" i="3"/>
  <c r="AU24" i="3"/>
  <c r="AV24" i="3"/>
  <c r="AW24" i="3"/>
  <c r="AU25" i="3"/>
  <c r="AV25" i="3"/>
  <c r="AW25" i="3"/>
  <c r="AU27" i="3"/>
  <c r="AV27" i="3"/>
  <c r="AW27" i="3"/>
  <c r="AU28" i="3"/>
  <c r="AV28" i="3"/>
  <c r="AW28" i="3"/>
  <c r="AU29" i="3"/>
  <c r="AV29" i="3"/>
  <c r="AW29" i="3"/>
  <c r="AU30" i="3"/>
  <c r="AV30" i="3"/>
  <c r="AW30" i="3"/>
  <c r="AU31" i="3"/>
  <c r="AV31" i="3"/>
  <c r="AW31" i="3"/>
  <c r="AU32" i="3"/>
  <c r="AV32" i="3"/>
  <c r="AW32" i="3"/>
  <c r="AU33" i="3"/>
  <c r="AV33" i="3"/>
  <c r="AW33" i="3"/>
  <c r="AU34" i="3"/>
  <c r="AV34" i="3"/>
  <c r="AW34" i="3"/>
  <c r="AU35" i="3"/>
  <c r="AV35" i="3"/>
  <c r="AW35" i="3"/>
  <c r="AU36" i="3"/>
  <c r="AV36" i="3"/>
  <c r="AW36" i="3"/>
  <c r="AU37" i="3"/>
  <c r="AV37" i="3"/>
  <c r="AW37" i="3"/>
  <c r="AU38" i="3"/>
  <c r="AV38" i="3"/>
  <c r="AW38" i="3"/>
  <c r="AU39" i="3"/>
  <c r="AV39" i="3"/>
  <c r="AW39" i="3"/>
  <c r="AU40" i="3"/>
  <c r="AV40" i="3"/>
  <c r="AW40" i="3"/>
  <c r="AU41" i="3"/>
  <c r="AV41" i="3"/>
  <c r="AW41" i="3"/>
  <c r="AU42" i="3"/>
  <c r="AV42" i="3"/>
  <c r="AW42" i="3"/>
  <c r="AU43" i="3"/>
  <c r="AV43" i="3"/>
  <c r="AW43" i="3"/>
  <c r="AU44" i="3"/>
  <c r="AV44" i="3"/>
  <c r="AW44" i="3"/>
  <c r="AU45" i="3"/>
  <c r="AV45" i="3"/>
  <c r="AW45" i="3"/>
  <c r="AU46" i="3"/>
  <c r="AV46" i="3"/>
  <c r="AW46" i="3"/>
  <c r="AU47" i="3"/>
  <c r="AV47" i="3"/>
  <c r="AW47" i="3"/>
  <c r="AU48" i="3"/>
  <c r="AV48" i="3"/>
  <c r="AW48" i="3"/>
  <c r="AU49" i="3"/>
  <c r="AV49" i="3"/>
  <c r="AW49" i="3"/>
  <c r="AU50" i="3"/>
  <c r="AV50" i="3"/>
  <c r="AW50" i="3"/>
  <c r="AU51" i="3"/>
  <c r="AV51" i="3"/>
  <c r="AW51" i="3"/>
  <c r="AU52" i="3"/>
  <c r="AV52" i="3"/>
  <c r="AW52" i="3"/>
  <c r="AU53" i="3"/>
  <c r="AV53" i="3"/>
  <c r="AW53" i="3"/>
  <c r="AU54" i="3"/>
  <c r="AV54" i="3"/>
  <c r="AW54" i="3"/>
  <c r="AU55" i="3"/>
  <c r="AV55" i="3"/>
  <c r="AW55" i="3"/>
  <c r="AU56" i="3"/>
  <c r="AV56" i="3"/>
  <c r="AW56" i="3"/>
  <c r="AU57" i="3"/>
  <c r="AV57" i="3"/>
  <c r="AW57" i="3"/>
  <c r="AU58" i="3"/>
  <c r="AV58" i="3"/>
  <c r="AW58" i="3"/>
  <c r="AU59" i="3"/>
  <c r="AV59" i="3"/>
  <c r="AW59" i="3"/>
  <c r="AU60" i="3"/>
  <c r="AV60" i="3"/>
  <c r="AW60" i="3"/>
  <c r="AU61" i="3"/>
  <c r="AV61" i="3"/>
  <c r="AW61" i="3"/>
  <c r="AU62" i="3"/>
  <c r="AV62" i="3"/>
  <c r="AW62" i="3"/>
  <c r="AU63" i="3"/>
  <c r="AV63" i="3"/>
  <c r="AW63" i="3"/>
  <c r="AU64" i="3"/>
  <c r="AV64" i="3"/>
  <c r="AW64" i="3"/>
  <c r="AU65" i="3"/>
  <c r="AV65" i="3"/>
  <c r="AW65" i="3"/>
  <c r="AU66" i="3"/>
  <c r="AV66" i="3"/>
  <c r="AW66" i="3"/>
  <c r="AU67" i="3"/>
  <c r="AV67" i="3"/>
  <c r="AW67" i="3"/>
  <c r="AU68" i="3"/>
  <c r="AV68" i="3"/>
  <c r="AW68" i="3"/>
  <c r="AU69" i="3"/>
  <c r="AV69" i="3"/>
  <c r="AW69" i="3"/>
  <c r="AU70" i="3"/>
  <c r="AV70" i="3"/>
  <c r="AW70" i="3"/>
  <c r="AU71" i="3"/>
  <c r="AV71" i="3"/>
  <c r="AW71" i="3"/>
  <c r="AU72" i="3"/>
  <c r="AV72" i="3"/>
  <c r="AW72" i="3"/>
  <c r="AU73" i="3"/>
  <c r="AV73" i="3"/>
  <c r="AW73" i="3"/>
  <c r="AU74" i="3"/>
  <c r="AV74" i="3"/>
  <c r="AW74" i="3"/>
  <c r="AU75" i="3"/>
  <c r="AV75" i="3"/>
  <c r="AW75" i="3"/>
  <c r="AU76" i="3"/>
  <c r="AV76" i="3"/>
  <c r="AW76" i="3"/>
  <c r="AU77" i="3"/>
  <c r="AV77" i="3"/>
  <c r="AW77" i="3"/>
  <c r="AU78" i="3"/>
  <c r="AV78" i="3"/>
  <c r="AW78" i="3"/>
  <c r="AU79" i="3"/>
  <c r="AV79" i="3"/>
  <c r="AW79" i="3"/>
  <c r="AU80" i="3"/>
  <c r="AV80" i="3"/>
  <c r="AW80" i="3"/>
  <c r="AU81" i="3"/>
  <c r="AV81" i="3"/>
  <c r="AW81" i="3"/>
  <c r="AU82" i="3"/>
  <c r="AV82" i="3"/>
  <c r="AW82" i="3"/>
  <c r="AU83" i="3"/>
  <c r="AV83" i="3"/>
  <c r="AW83" i="3"/>
  <c r="AU84" i="3"/>
  <c r="AV84" i="3"/>
  <c r="AW84" i="3"/>
  <c r="AU85" i="3"/>
  <c r="AV85" i="3"/>
  <c r="AW85" i="3"/>
  <c r="AU86" i="3"/>
  <c r="AV86" i="3"/>
  <c r="AW86" i="3"/>
  <c r="AU87" i="3"/>
  <c r="AV87" i="3"/>
  <c r="AW87" i="3"/>
  <c r="AU88" i="3"/>
  <c r="AV88" i="3"/>
  <c r="AW88" i="3"/>
  <c r="AU89" i="3"/>
  <c r="AV89" i="3"/>
  <c r="AW89" i="3"/>
  <c r="AU90" i="3"/>
  <c r="AV90" i="3"/>
  <c r="AW90" i="3"/>
  <c r="AU91" i="3"/>
  <c r="AV91" i="3"/>
  <c r="AW91" i="3"/>
  <c r="AU92" i="3"/>
  <c r="AV92" i="3"/>
  <c r="AW92" i="3"/>
  <c r="AU93" i="3"/>
  <c r="AV93" i="3"/>
  <c r="AW93" i="3"/>
  <c r="AU94" i="3"/>
  <c r="AV94" i="3"/>
  <c r="AW94" i="3"/>
  <c r="AU95" i="3"/>
  <c r="AV95" i="3"/>
  <c r="AW95" i="3"/>
  <c r="AU96" i="3"/>
  <c r="AV96" i="3"/>
  <c r="AW96" i="3"/>
  <c r="AU97" i="3"/>
  <c r="AV97" i="3"/>
  <c r="AW97" i="3"/>
  <c r="AU98" i="3"/>
  <c r="AV98" i="3"/>
  <c r="AW98" i="3"/>
  <c r="AU99" i="3"/>
  <c r="AV99" i="3"/>
  <c r="AW99" i="3"/>
  <c r="AU100" i="3"/>
  <c r="AV100" i="3"/>
  <c r="AW100" i="3"/>
  <c r="AU102" i="3"/>
  <c r="AV102" i="3"/>
  <c r="AW102" i="3"/>
  <c r="AU103" i="3"/>
  <c r="AV103" i="3"/>
  <c r="AW103" i="3"/>
  <c r="AU104" i="3"/>
  <c r="AV104" i="3"/>
  <c r="AW104" i="3"/>
  <c r="AU105" i="3"/>
  <c r="AV105" i="3"/>
  <c r="AW105" i="3"/>
  <c r="AU106" i="3"/>
  <c r="AV106" i="3"/>
  <c r="AW106" i="3"/>
  <c r="AU107" i="3"/>
  <c r="AV107" i="3"/>
  <c r="AW107" i="3"/>
  <c r="AU108" i="3"/>
  <c r="AV108" i="3"/>
  <c r="AW108" i="3"/>
  <c r="AU109" i="3"/>
  <c r="AV109" i="3"/>
  <c r="AW109" i="3"/>
  <c r="AU110" i="3"/>
  <c r="AV110" i="3"/>
  <c r="AW110" i="3"/>
  <c r="AU111" i="3"/>
  <c r="AV111" i="3"/>
  <c r="AW111" i="3"/>
  <c r="AU112" i="3"/>
  <c r="AV112" i="3"/>
  <c r="AW112" i="3"/>
  <c r="AU113" i="3"/>
  <c r="AV113" i="3"/>
  <c r="AW113" i="3"/>
  <c r="AU114" i="3"/>
  <c r="AV114" i="3"/>
  <c r="AW114" i="3"/>
  <c r="AU115" i="3"/>
  <c r="AV115" i="3"/>
  <c r="AW115" i="3"/>
  <c r="AU116" i="3"/>
  <c r="AV116" i="3"/>
  <c r="AW116" i="3"/>
  <c r="AU117" i="3"/>
  <c r="AV117" i="3"/>
  <c r="AW117" i="3"/>
  <c r="AU118" i="3"/>
  <c r="AV118" i="3"/>
  <c r="AW118" i="3"/>
  <c r="AU119" i="3"/>
  <c r="AV119" i="3"/>
  <c r="AW119" i="3"/>
  <c r="AU120" i="3"/>
  <c r="AV120" i="3"/>
  <c r="AW120" i="3"/>
  <c r="AU121" i="3"/>
  <c r="AV121" i="3"/>
  <c r="AW121" i="3"/>
  <c r="AU122" i="3"/>
  <c r="AV122" i="3"/>
  <c r="AW122" i="3"/>
  <c r="AU123" i="3"/>
  <c r="AV123" i="3"/>
  <c r="AW123" i="3"/>
  <c r="AU124" i="3"/>
  <c r="AV124" i="3"/>
  <c r="AW124" i="3"/>
  <c r="AU125" i="3"/>
  <c r="AV125" i="3"/>
  <c r="AW125" i="3"/>
  <c r="AU126" i="3"/>
  <c r="AV126" i="3"/>
  <c r="AW126" i="3"/>
  <c r="AU127" i="3"/>
  <c r="AV127" i="3"/>
  <c r="AW127" i="3"/>
  <c r="AU128" i="3"/>
  <c r="AV128" i="3"/>
  <c r="AW128" i="3"/>
  <c r="AU129" i="3"/>
  <c r="AV129" i="3"/>
  <c r="AW129" i="3"/>
  <c r="AU130" i="3"/>
  <c r="AV130" i="3"/>
  <c r="AW130" i="3"/>
  <c r="AU131" i="3"/>
  <c r="AV131" i="3"/>
  <c r="AW131" i="3"/>
  <c r="AU132" i="3"/>
  <c r="AV132" i="3"/>
  <c r="AW132" i="3"/>
  <c r="AU133" i="3"/>
  <c r="AV133" i="3"/>
  <c r="AW133" i="3"/>
  <c r="AU134" i="3"/>
  <c r="AV134" i="3"/>
  <c r="AW134" i="3"/>
  <c r="AU135" i="3"/>
  <c r="AV135" i="3"/>
  <c r="AW135" i="3"/>
  <c r="AU136" i="3"/>
  <c r="AV136" i="3"/>
  <c r="AW136" i="3"/>
  <c r="AU137" i="3"/>
  <c r="AV137" i="3"/>
  <c r="AW137" i="3"/>
  <c r="AU138" i="3"/>
  <c r="AV138" i="3"/>
  <c r="AW138" i="3"/>
  <c r="AU139" i="3"/>
  <c r="AV139" i="3"/>
  <c r="AW139" i="3"/>
  <c r="AU140" i="3"/>
  <c r="AV140" i="3"/>
  <c r="AW140" i="3"/>
  <c r="AU141" i="3"/>
  <c r="AV141" i="3"/>
  <c r="AW141" i="3"/>
  <c r="AU142" i="3"/>
  <c r="AV142" i="3"/>
  <c r="AW142" i="3"/>
  <c r="AU143" i="3"/>
  <c r="AV143" i="3"/>
  <c r="AW143" i="3"/>
  <c r="AU144" i="3"/>
  <c r="AV144" i="3"/>
  <c r="AW144" i="3"/>
  <c r="AU145" i="3"/>
  <c r="AV145" i="3"/>
  <c r="AW145" i="3"/>
  <c r="AU146" i="3"/>
  <c r="AV146" i="3"/>
  <c r="AW146" i="3"/>
  <c r="AU147" i="3"/>
  <c r="AV147" i="3"/>
  <c r="AW147" i="3"/>
  <c r="AU148" i="3"/>
  <c r="AV148" i="3"/>
  <c r="AW148" i="3"/>
  <c r="AU149" i="3"/>
  <c r="AV149" i="3"/>
  <c r="AW149" i="3"/>
  <c r="AU150" i="3"/>
  <c r="AV150" i="3"/>
  <c r="AW150" i="3"/>
  <c r="AU151" i="3"/>
  <c r="AV151" i="3"/>
  <c r="AW151" i="3"/>
  <c r="AU152" i="3"/>
  <c r="AV152" i="3"/>
  <c r="AW152" i="3"/>
  <c r="AU153" i="3"/>
  <c r="AV153" i="3"/>
  <c r="AW153" i="3"/>
  <c r="AU154" i="3"/>
  <c r="AV154" i="3"/>
  <c r="AW154" i="3"/>
  <c r="AU155" i="3"/>
  <c r="AV155" i="3"/>
  <c r="AW155" i="3"/>
  <c r="AU157" i="3"/>
  <c r="AV157" i="3"/>
  <c r="AW157" i="3"/>
  <c r="AU158" i="3"/>
  <c r="AV158" i="3"/>
  <c r="AW158" i="3"/>
  <c r="AU159" i="3"/>
  <c r="AV159" i="3"/>
  <c r="AW159" i="3"/>
  <c r="AU160" i="3"/>
  <c r="AV160" i="3"/>
  <c r="AW160" i="3"/>
  <c r="AU161" i="3"/>
  <c r="AV161" i="3"/>
  <c r="AW161" i="3"/>
  <c r="AU162" i="3"/>
  <c r="AV162" i="3"/>
  <c r="AW162" i="3"/>
  <c r="AU163" i="3"/>
  <c r="AV163" i="3"/>
  <c r="AW163" i="3"/>
  <c r="AU164" i="3"/>
  <c r="AV164" i="3"/>
  <c r="AW164" i="3"/>
  <c r="AU165" i="3"/>
  <c r="AV165" i="3"/>
  <c r="AW165" i="3"/>
  <c r="AU166" i="3"/>
  <c r="AV166" i="3"/>
  <c r="AW166" i="3"/>
  <c r="AU167" i="3"/>
  <c r="AV167" i="3"/>
  <c r="AW167" i="3"/>
  <c r="AU168" i="3"/>
  <c r="AV168" i="3"/>
  <c r="AW168" i="3"/>
  <c r="AU169" i="3"/>
  <c r="AV169" i="3"/>
  <c r="AW169" i="3"/>
  <c r="AW2" i="3"/>
  <c r="AV2" i="3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T99" i="3"/>
  <c r="AT100" i="3"/>
  <c r="AT102" i="3"/>
  <c r="AT103" i="3"/>
  <c r="AT104" i="3"/>
  <c r="AT105" i="3"/>
  <c r="AT106" i="3"/>
  <c r="AT107" i="3"/>
  <c r="AT108" i="3"/>
  <c r="AT109" i="3"/>
  <c r="AT110" i="3"/>
  <c r="AT111" i="3"/>
  <c r="AT112" i="3"/>
  <c r="AT113" i="3"/>
  <c r="AT114" i="3"/>
  <c r="AT115" i="3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T154" i="3"/>
  <c r="AT155" i="3"/>
  <c r="AT157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2" i="3"/>
  <c r="AP3" i="3"/>
  <c r="AQ3" i="3"/>
  <c r="AR3" i="3"/>
  <c r="AS3" i="3"/>
  <c r="AP4" i="3"/>
  <c r="AQ4" i="3"/>
  <c r="AR4" i="3"/>
  <c r="AS4" i="3"/>
  <c r="AP5" i="3"/>
  <c r="AQ5" i="3"/>
  <c r="AR5" i="3"/>
  <c r="AS5" i="3"/>
  <c r="AP6" i="3"/>
  <c r="AQ6" i="3"/>
  <c r="AR6" i="3"/>
  <c r="AS6" i="3"/>
  <c r="AP7" i="3"/>
  <c r="AQ7" i="3"/>
  <c r="AR7" i="3"/>
  <c r="AS7" i="3"/>
  <c r="AP8" i="3"/>
  <c r="AQ8" i="3"/>
  <c r="AR8" i="3"/>
  <c r="AS8" i="3"/>
  <c r="AP9" i="3"/>
  <c r="AQ9" i="3"/>
  <c r="AR9" i="3"/>
  <c r="AS9" i="3"/>
  <c r="AP10" i="3"/>
  <c r="AQ10" i="3"/>
  <c r="AR10" i="3"/>
  <c r="AS10" i="3"/>
  <c r="AP11" i="3"/>
  <c r="AQ11" i="3"/>
  <c r="AR11" i="3"/>
  <c r="AS11" i="3"/>
  <c r="AP12" i="3"/>
  <c r="AQ12" i="3"/>
  <c r="AR12" i="3"/>
  <c r="AS12" i="3"/>
  <c r="AP13" i="3"/>
  <c r="AQ13" i="3"/>
  <c r="AR13" i="3"/>
  <c r="AS13" i="3"/>
  <c r="AP14" i="3"/>
  <c r="AQ14" i="3"/>
  <c r="AR14" i="3"/>
  <c r="AS14" i="3"/>
  <c r="AP15" i="3"/>
  <c r="AQ15" i="3"/>
  <c r="AR15" i="3"/>
  <c r="AS15" i="3"/>
  <c r="AP16" i="3"/>
  <c r="AQ16" i="3"/>
  <c r="AR16" i="3"/>
  <c r="AS16" i="3"/>
  <c r="AP17" i="3"/>
  <c r="AQ17" i="3"/>
  <c r="AR17" i="3"/>
  <c r="AS17" i="3"/>
  <c r="AP18" i="3"/>
  <c r="AQ18" i="3"/>
  <c r="AR18" i="3"/>
  <c r="AS18" i="3"/>
  <c r="AP19" i="3"/>
  <c r="AQ19" i="3"/>
  <c r="AR19" i="3"/>
  <c r="AS19" i="3"/>
  <c r="AP20" i="3"/>
  <c r="AQ20" i="3"/>
  <c r="AR20" i="3"/>
  <c r="AS20" i="3"/>
  <c r="AP21" i="3"/>
  <c r="AQ21" i="3"/>
  <c r="AR21" i="3"/>
  <c r="AS21" i="3"/>
  <c r="AP22" i="3"/>
  <c r="AQ22" i="3"/>
  <c r="AR22" i="3"/>
  <c r="AS22" i="3"/>
  <c r="AP23" i="3"/>
  <c r="AQ23" i="3"/>
  <c r="AR23" i="3"/>
  <c r="AS23" i="3"/>
  <c r="AP24" i="3"/>
  <c r="AQ24" i="3"/>
  <c r="AR24" i="3"/>
  <c r="AS24" i="3"/>
  <c r="AP25" i="3"/>
  <c r="AQ25" i="3"/>
  <c r="AR25" i="3"/>
  <c r="AS25" i="3"/>
  <c r="AP27" i="3"/>
  <c r="AQ27" i="3"/>
  <c r="AR27" i="3"/>
  <c r="AS27" i="3"/>
  <c r="AP28" i="3"/>
  <c r="AQ28" i="3"/>
  <c r="AR28" i="3"/>
  <c r="AS28" i="3"/>
  <c r="AP29" i="3"/>
  <c r="AQ29" i="3"/>
  <c r="AR29" i="3"/>
  <c r="AS29" i="3"/>
  <c r="AP30" i="3"/>
  <c r="AQ30" i="3"/>
  <c r="AR30" i="3"/>
  <c r="AS30" i="3"/>
  <c r="AP31" i="3"/>
  <c r="AQ31" i="3"/>
  <c r="AR31" i="3"/>
  <c r="AS31" i="3"/>
  <c r="AP32" i="3"/>
  <c r="AQ32" i="3"/>
  <c r="AR32" i="3"/>
  <c r="AS32" i="3"/>
  <c r="AP33" i="3"/>
  <c r="AQ33" i="3"/>
  <c r="AR33" i="3"/>
  <c r="AS33" i="3"/>
  <c r="AP34" i="3"/>
  <c r="AQ34" i="3"/>
  <c r="AR34" i="3"/>
  <c r="AS34" i="3"/>
  <c r="AP35" i="3"/>
  <c r="AQ35" i="3"/>
  <c r="AR35" i="3"/>
  <c r="AS35" i="3"/>
  <c r="AP36" i="3"/>
  <c r="AQ36" i="3"/>
  <c r="AR36" i="3"/>
  <c r="AS36" i="3"/>
  <c r="AP37" i="3"/>
  <c r="AQ37" i="3"/>
  <c r="AR37" i="3"/>
  <c r="AS37" i="3"/>
  <c r="AP38" i="3"/>
  <c r="AQ38" i="3"/>
  <c r="AR38" i="3"/>
  <c r="AS38" i="3"/>
  <c r="AP39" i="3"/>
  <c r="AQ39" i="3"/>
  <c r="AR39" i="3"/>
  <c r="AS39" i="3"/>
  <c r="AP40" i="3"/>
  <c r="AQ40" i="3"/>
  <c r="AR40" i="3"/>
  <c r="AS40" i="3"/>
  <c r="AP41" i="3"/>
  <c r="AQ41" i="3"/>
  <c r="AR41" i="3"/>
  <c r="AS41" i="3"/>
  <c r="AP42" i="3"/>
  <c r="AQ42" i="3"/>
  <c r="AR42" i="3"/>
  <c r="AS42" i="3"/>
  <c r="AP43" i="3"/>
  <c r="AQ43" i="3"/>
  <c r="AR43" i="3"/>
  <c r="AS43" i="3"/>
  <c r="AP44" i="3"/>
  <c r="AQ44" i="3"/>
  <c r="AR44" i="3"/>
  <c r="AS44" i="3"/>
  <c r="AP45" i="3"/>
  <c r="AQ45" i="3"/>
  <c r="AR45" i="3"/>
  <c r="AS45" i="3"/>
  <c r="AP46" i="3"/>
  <c r="AQ46" i="3"/>
  <c r="AR46" i="3"/>
  <c r="AS46" i="3"/>
  <c r="AP47" i="3"/>
  <c r="AQ47" i="3"/>
  <c r="AR47" i="3"/>
  <c r="AS47" i="3"/>
  <c r="AP48" i="3"/>
  <c r="AQ48" i="3"/>
  <c r="AR48" i="3"/>
  <c r="AS48" i="3"/>
  <c r="AP49" i="3"/>
  <c r="AQ49" i="3"/>
  <c r="AR49" i="3"/>
  <c r="AS49" i="3"/>
  <c r="AP50" i="3"/>
  <c r="AQ50" i="3"/>
  <c r="AR50" i="3"/>
  <c r="AS50" i="3"/>
  <c r="AP51" i="3"/>
  <c r="AQ51" i="3"/>
  <c r="AR51" i="3"/>
  <c r="AS51" i="3"/>
  <c r="AP52" i="3"/>
  <c r="AQ52" i="3"/>
  <c r="AR52" i="3"/>
  <c r="AS52" i="3"/>
  <c r="AP53" i="3"/>
  <c r="AQ53" i="3"/>
  <c r="AR53" i="3"/>
  <c r="AS53" i="3"/>
  <c r="AP54" i="3"/>
  <c r="AQ54" i="3"/>
  <c r="AR54" i="3"/>
  <c r="AS54" i="3"/>
  <c r="AP55" i="3"/>
  <c r="AQ55" i="3"/>
  <c r="AR55" i="3"/>
  <c r="AS55" i="3"/>
  <c r="AP56" i="3"/>
  <c r="AQ56" i="3"/>
  <c r="AR56" i="3"/>
  <c r="AS56" i="3"/>
  <c r="AP57" i="3"/>
  <c r="AQ57" i="3"/>
  <c r="AR57" i="3"/>
  <c r="AS57" i="3"/>
  <c r="AP58" i="3"/>
  <c r="AQ58" i="3"/>
  <c r="AR58" i="3"/>
  <c r="AS58" i="3"/>
  <c r="AP59" i="3"/>
  <c r="AQ59" i="3"/>
  <c r="AR59" i="3"/>
  <c r="AS59" i="3"/>
  <c r="AP60" i="3"/>
  <c r="AQ60" i="3"/>
  <c r="AR60" i="3"/>
  <c r="AS60" i="3"/>
  <c r="AP61" i="3"/>
  <c r="AQ61" i="3"/>
  <c r="AR61" i="3"/>
  <c r="AS61" i="3"/>
  <c r="AP62" i="3"/>
  <c r="AQ62" i="3"/>
  <c r="AR62" i="3"/>
  <c r="AS62" i="3"/>
  <c r="AP63" i="3"/>
  <c r="AQ63" i="3"/>
  <c r="AR63" i="3"/>
  <c r="AS63" i="3"/>
  <c r="AP64" i="3"/>
  <c r="AQ64" i="3"/>
  <c r="AR64" i="3"/>
  <c r="AS64" i="3"/>
  <c r="AP65" i="3"/>
  <c r="AQ65" i="3"/>
  <c r="AR65" i="3"/>
  <c r="AS65" i="3"/>
  <c r="AP66" i="3"/>
  <c r="AQ66" i="3"/>
  <c r="AR66" i="3"/>
  <c r="AS66" i="3"/>
  <c r="AP67" i="3"/>
  <c r="AQ67" i="3"/>
  <c r="AR67" i="3"/>
  <c r="AS67" i="3"/>
  <c r="AP68" i="3"/>
  <c r="AQ68" i="3"/>
  <c r="AR68" i="3"/>
  <c r="AS68" i="3"/>
  <c r="AP69" i="3"/>
  <c r="AQ69" i="3"/>
  <c r="AR69" i="3"/>
  <c r="AS69" i="3"/>
  <c r="AP70" i="3"/>
  <c r="AQ70" i="3"/>
  <c r="AR70" i="3"/>
  <c r="AS70" i="3"/>
  <c r="AP71" i="3"/>
  <c r="AQ71" i="3"/>
  <c r="AR71" i="3"/>
  <c r="AS71" i="3"/>
  <c r="AP72" i="3"/>
  <c r="AQ72" i="3"/>
  <c r="AR72" i="3"/>
  <c r="AS72" i="3"/>
  <c r="AP73" i="3"/>
  <c r="AQ73" i="3"/>
  <c r="AR73" i="3"/>
  <c r="AS73" i="3"/>
  <c r="AP74" i="3"/>
  <c r="AQ74" i="3"/>
  <c r="AR74" i="3"/>
  <c r="AS74" i="3"/>
  <c r="AP75" i="3"/>
  <c r="AQ75" i="3"/>
  <c r="AR75" i="3"/>
  <c r="AS75" i="3"/>
  <c r="AP76" i="3"/>
  <c r="AQ76" i="3"/>
  <c r="AR76" i="3"/>
  <c r="AS76" i="3"/>
  <c r="AP77" i="3"/>
  <c r="AQ77" i="3"/>
  <c r="AR77" i="3"/>
  <c r="AS77" i="3"/>
  <c r="AP78" i="3"/>
  <c r="AQ78" i="3"/>
  <c r="AR78" i="3"/>
  <c r="AS78" i="3"/>
  <c r="AP79" i="3"/>
  <c r="AQ79" i="3"/>
  <c r="AR79" i="3"/>
  <c r="AS79" i="3"/>
  <c r="AP80" i="3"/>
  <c r="AQ80" i="3"/>
  <c r="AR80" i="3"/>
  <c r="AS80" i="3"/>
  <c r="AP81" i="3"/>
  <c r="AQ81" i="3"/>
  <c r="AR81" i="3"/>
  <c r="AS81" i="3"/>
  <c r="AP82" i="3"/>
  <c r="AQ82" i="3"/>
  <c r="AR82" i="3"/>
  <c r="AS82" i="3"/>
  <c r="AP83" i="3"/>
  <c r="AQ83" i="3"/>
  <c r="AR83" i="3"/>
  <c r="AS83" i="3"/>
  <c r="AP84" i="3"/>
  <c r="AQ84" i="3"/>
  <c r="AR84" i="3"/>
  <c r="AS84" i="3"/>
  <c r="AP85" i="3"/>
  <c r="AQ85" i="3"/>
  <c r="AR85" i="3"/>
  <c r="AS85" i="3"/>
  <c r="AP86" i="3"/>
  <c r="AQ86" i="3"/>
  <c r="AR86" i="3"/>
  <c r="AS86" i="3"/>
  <c r="AP87" i="3"/>
  <c r="AQ87" i="3"/>
  <c r="AR87" i="3"/>
  <c r="AS87" i="3"/>
  <c r="AP88" i="3"/>
  <c r="AQ88" i="3"/>
  <c r="AR88" i="3"/>
  <c r="AS88" i="3"/>
  <c r="AP89" i="3"/>
  <c r="AQ89" i="3"/>
  <c r="AR89" i="3"/>
  <c r="AS89" i="3"/>
  <c r="AP90" i="3"/>
  <c r="AQ90" i="3"/>
  <c r="AR90" i="3"/>
  <c r="AS90" i="3"/>
  <c r="AP91" i="3"/>
  <c r="AQ91" i="3"/>
  <c r="AR91" i="3"/>
  <c r="AS91" i="3"/>
  <c r="AP92" i="3"/>
  <c r="AQ92" i="3"/>
  <c r="AR92" i="3"/>
  <c r="AS92" i="3"/>
  <c r="AP93" i="3"/>
  <c r="AQ93" i="3"/>
  <c r="AR93" i="3"/>
  <c r="AS93" i="3"/>
  <c r="AP94" i="3"/>
  <c r="AQ94" i="3"/>
  <c r="AR94" i="3"/>
  <c r="AS94" i="3"/>
  <c r="AP95" i="3"/>
  <c r="AQ95" i="3"/>
  <c r="AR95" i="3"/>
  <c r="AS95" i="3"/>
  <c r="AP96" i="3"/>
  <c r="AQ96" i="3"/>
  <c r="AR96" i="3"/>
  <c r="AS96" i="3"/>
  <c r="AP97" i="3"/>
  <c r="AQ97" i="3"/>
  <c r="AR97" i="3"/>
  <c r="AS97" i="3"/>
  <c r="AP98" i="3"/>
  <c r="AQ98" i="3"/>
  <c r="AR98" i="3"/>
  <c r="AS98" i="3"/>
  <c r="AP99" i="3"/>
  <c r="AQ99" i="3"/>
  <c r="AR99" i="3"/>
  <c r="AS99" i="3"/>
  <c r="AP100" i="3"/>
  <c r="AQ100" i="3"/>
  <c r="AR100" i="3"/>
  <c r="AS100" i="3"/>
  <c r="AP102" i="3"/>
  <c r="AQ102" i="3"/>
  <c r="AR102" i="3"/>
  <c r="AS102" i="3"/>
  <c r="AP103" i="3"/>
  <c r="AQ103" i="3"/>
  <c r="AR103" i="3"/>
  <c r="AS103" i="3"/>
  <c r="AP104" i="3"/>
  <c r="AQ104" i="3"/>
  <c r="AR104" i="3"/>
  <c r="AS104" i="3"/>
  <c r="AP105" i="3"/>
  <c r="AQ105" i="3"/>
  <c r="AR105" i="3"/>
  <c r="AS105" i="3"/>
  <c r="AP106" i="3"/>
  <c r="AQ106" i="3"/>
  <c r="AR106" i="3"/>
  <c r="AS106" i="3"/>
  <c r="AP107" i="3"/>
  <c r="AQ107" i="3"/>
  <c r="AR107" i="3"/>
  <c r="AS107" i="3"/>
  <c r="AP108" i="3"/>
  <c r="AQ108" i="3"/>
  <c r="AR108" i="3"/>
  <c r="AS108" i="3"/>
  <c r="AP109" i="3"/>
  <c r="AQ109" i="3"/>
  <c r="AR109" i="3"/>
  <c r="AS109" i="3"/>
  <c r="AP110" i="3"/>
  <c r="AQ110" i="3"/>
  <c r="AR110" i="3"/>
  <c r="AS110" i="3"/>
  <c r="AP111" i="3"/>
  <c r="AQ111" i="3"/>
  <c r="AR111" i="3"/>
  <c r="AS111" i="3"/>
  <c r="AP112" i="3"/>
  <c r="AQ112" i="3"/>
  <c r="AR112" i="3"/>
  <c r="AS112" i="3"/>
  <c r="AP113" i="3"/>
  <c r="AQ113" i="3"/>
  <c r="AR113" i="3"/>
  <c r="AS113" i="3"/>
  <c r="AP114" i="3"/>
  <c r="AQ114" i="3"/>
  <c r="AR114" i="3"/>
  <c r="AS114" i="3"/>
  <c r="AP115" i="3"/>
  <c r="AQ115" i="3"/>
  <c r="AR115" i="3"/>
  <c r="AS115" i="3"/>
  <c r="AP116" i="3"/>
  <c r="AQ116" i="3"/>
  <c r="AR116" i="3"/>
  <c r="AS116" i="3"/>
  <c r="AP117" i="3"/>
  <c r="AQ117" i="3"/>
  <c r="AR117" i="3"/>
  <c r="AS117" i="3"/>
  <c r="AP118" i="3"/>
  <c r="AQ118" i="3"/>
  <c r="AR118" i="3"/>
  <c r="AS118" i="3"/>
  <c r="AP119" i="3"/>
  <c r="AQ119" i="3"/>
  <c r="AR119" i="3"/>
  <c r="AS119" i="3"/>
  <c r="AP120" i="3"/>
  <c r="AQ120" i="3"/>
  <c r="AR120" i="3"/>
  <c r="AS120" i="3"/>
  <c r="AP121" i="3"/>
  <c r="AQ121" i="3"/>
  <c r="AR121" i="3"/>
  <c r="AS121" i="3"/>
  <c r="AP122" i="3"/>
  <c r="AQ122" i="3"/>
  <c r="AR122" i="3"/>
  <c r="AS122" i="3"/>
  <c r="AP123" i="3"/>
  <c r="AQ123" i="3"/>
  <c r="AR123" i="3"/>
  <c r="AS123" i="3"/>
  <c r="AP124" i="3"/>
  <c r="AQ124" i="3"/>
  <c r="AR124" i="3"/>
  <c r="AS124" i="3"/>
  <c r="AP125" i="3"/>
  <c r="AQ125" i="3"/>
  <c r="AR125" i="3"/>
  <c r="AS125" i="3"/>
  <c r="AP126" i="3"/>
  <c r="AQ126" i="3"/>
  <c r="AR126" i="3"/>
  <c r="AS126" i="3"/>
  <c r="AP127" i="3"/>
  <c r="AQ127" i="3"/>
  <c r="AR127" i="3"/>
  <c r="AS127" i="3"/>
  <c r="AP128" i="3"/>
  <c r="AQ128" i="3"/>
  <c r="AR128" i="3"/>
  <c r="AS128" i="3"/>
  <c r="AP129" i="3"/>
  <c r="AQ129" i="3"/>
  <c r="AR129" i="3"/>
  <c r="AS129" i="3"/>
  <c r="AP130" i="3"/>
  <c r="AQ130" i="3"/>
  <c r="AR130" i="3"/>
  <c r="AS130" i="3"/>
  <c r="AP131" i="3"/>
  <c r="AQ131" i="3"/>
  <c r="AR131" i="3"/>
  <c r="AS131" i="3"/>
  <c r="AP132" i="3"/>
  <c r="AQ132" i="3"/>
  <c r="AR132" i="3"/>
  <c r="AS132" i="3"/>
  <c r="AP133" i="3"/>
  <c r="AQ133" i="3"/>
  <c r="AR133" i="3"/>
  <c r="AS133" i="3"/>
  <c r="AP134" i="3"/>
  <c r="AQ134" i="3"/>
  <c r="AR134" i="3"/>
  <c r="AS134" i="3"/>
  <c r="AP135" i="3"/>
  <c r="AQ135" i="3"/>
  <c r="AR135" i="3"/>
  <c r="AS135" i="3"/>
  <c r="AP136" i="3"/>
  <c r="AQ136" i="3"/>
  <c r="AR136" i="3"/>
  <c r="AS136" i="3"/>
  <c r="AP137" i="3"/>
  <c r="AQ137" i="3"/>
  <c r="AR137" i="3"/>
  <c r="AS137" i="3"/>
  <c r="AP138" i="3"/>
  <c r="AQ138" i="3"/>
  <c r="AR138" i="3"/>
  <c r="AS138" i="3"/>
  <c r="AP139" i="3"/>
  <c r="AQ139" i="3"/>
  <c r="AR139" i="3"/>
  <c r="AS139" i="3"/>
  <c r="AP140" i="3"/>
  <c r="AQ140" i="3"/>
  <c r="AR140" i="3"/>
  <c r="AS140" i="3"/>
  <c r="AP141" i="3"/>
  <c r="AQ141" i="3"/>
  <c r="AR141" i="3"/>
  <c r="AS141" i="3"/>
  <c r="AP142" i="3"/>
  <c r="AQ142" i="3"/>
  <c r="AR142" i="3"/>
  <c r="AS142" i="3"/>
  <c r="AP143" i="3"/>
  <c r="AQ143" i="3"/>
  <c r="AR143" i="3"/>
  <c r="AS143" i="3"/>
  <c r="AP144" i="3"/>
  <c r="AQ144" i="3"/>
  <c r="AR144" i="3"/>
  <c r="AS144" i="3"/>
  <c r="AP145" i="3"/>
  <c r="AQ145" i="3"/>
  <c r="AR145" i="3"/>
  <c r="AS145" i="3"/>
  <c r="AP146" i="3"/>
  <c r="AQ146" i="3"/>
  <c r="AR146" i="3"/>
  <c r="AS146" i="3"/>
  <c r="AP147" i="3"/>
  <c r="AQ147" i="3"/>
  <c r="AR147" i="3"/>
  <c r="AS147" i="3"/>
  <c r="AP148" i="3"/>
  <c r="AQ148" i="3"/>
  <c r="AR148" i="3"/>
  <c r="AS148" i="3"/>
  <c r="AP149" i="3"/>
  <c r="AQ149" i="3"/>
  <c r="AR149" i="3"/>
  <c r="AS149" i="3"/>
  <c r="AP150" i="3"/>
  <c r="AQ150" i="3"/>
  <c r="AR150" i="3"/>
  <c r="AS150" i="3"/>
  <c r="AP151" i="3"/>
  <c r="AQ151" i="3"/>
  <c r="AR151" i="3"/>
  <c r="AS151" i="3"/>
  <c r="AP152" i="3"/>
  <c r="AQ152" i="3"/>
  <c r="AR152" i="3"/>
  <c r="AS152" i="3"/>
  <c r="AP153" i="3"/>
  <c r="AQ153" i="3"/>
  <c r="AR153" i="3"/>
  <c r="AS153" i="3"/>
  <c r="AP154" i="3"/>
  <c r="AQ154" i="3"/>
  <c r="AR154" i="3"/>
  <c r="AS154" i="3"/>
  <c r="AP155" i="3"/>
  <c r="AQ155" i="3"/>
  <c r="AR155" i="3"/>
  <c r="AS155" i="3"/>
  <c r="AP157" i="3"/>
  <c r="AQ157" i="3"/>
  <c r="AR157" i="3"/>
  <c r="AS157" i="3"/>
  <c r="AP158" i="3"/>
  <c r="AQ158" i="3"/>
  <c r="AR158" i="3"/>
  <c r="AS158" i="3"/>
  <c r="AP159" i="3"/>
  <c r="AQ159" i="3"/>
  <c r="AR159" i="3"/>
  <c r="AS159" i="3"/>
  <c r="AP160" i="3"/>
  <c r="AQ160" i="3"/>
  <c r="AR160" i="3"/>
  <c r="AS160" i="3"/>
  <c r="AP161" i="3"/>
  <c r="AQ161" i="3"/>
  <c r="AR161" i="3"/>
  <c r="AS161" i="3"/>
  <c r="AP162" i="3"/>
  <c r="AQ162" i="3"/>
  <c r="AR162" i="3"/>
  <c r="AS162" i="3"/>
  <c r="AP163" i="3"/>
  <c r="AQ163" i="3"/>
  <c r="AR163" i="3"/>
  <c r="AS163" i="3"/>
  <c r="AP164" i="3"/>
  <c r="AQ164" i="3"/>
  <c r="AR164" i="3"/>
  <c r="AS164" i="3"/>
  <c r="AP165" i="3"/>
  <c r="AQ165" i="3"/>
  <c r="AR165" i="3"/>
  <c r="AS165" i="3"/>
  <c r="AP166" i="3"/>
  <c r="AQ166" i="3"/>
  <c r="AR166" i="3"/>
  <c r="AS166" i="3"/>
  <c r="AP167" i="3"/>
  <c r="AQ167" i="3"/>
  <c r="AR167" i="3"/>
  <c r="AS167" i="3"/>
  <c r="AP168" i="3"/>
  <c r="AQ168" i="3"/>
  <c r="AR168" i="3"/>
  <c r="AS168" i="3"/>
  <c r="AP169" i="3"/>
  <c r="AQ169" i="3"/>
  <c r="AR169" i="3"/>
  <c r="AS169" i="3"/>
  <c r="AS2" i="3"/>
  <c r="AR2" i="3"/>
  <c r="AQ2" i="3"/>
  <c r="AP2" i="3"/>
  <c r="AN3" i="3"/>
  <c r="AO3" i="3"/>
  <c r="AN4" i="3"/>
  <c r="AO4" i="3"/>
  <c r="AN5" i="3"/>
  <c r="AO5" i="3"/>
  <c r="AN6" i="3"/>
  <c r="AO6" i="3"/>
  <c r="AN7" i="3"/>
  <c r="AO7" i="3"/>
  <c r="AN8" i="3"/>
  <c r="AO8" i="3"/>
  <c r="AN9" i="3"/>
  <c r="AO9" i="3"/>
  <c r="AN10" i="3"/>
  <c r="AO10" i="3"/>
  <c r="AN11" i="3"/>
  <c r="AO11" i="3"/>
  <c r="AN12" i="3"/>
  <c r="AO12" i="3"/>
  <c r="AN13" i="3"/>
  <c r="AO13" i="3"/>
  <c r="AN14" i="3"/>
  <c r="AO14" i="3"/>
  <c r="AN15" i="3"/>
  <c r="AO15" i="3"/>
  <c r="AN16" i="3"/>
  <c r="AO16" i="3"/>
  <c r="AN17" i="3"/>
  <c r="AO17" i="3"/>
  <c r="AN18" i="3"/>
  <c r="AO18" i="3"/>
  <c r="AN19" i="3"/>
  <c r="AO19" i="3"/>
  <c r="AN20" i="3"/>
  <c r="AO20" i="3"/>
  <c r="AN21" i="3"/>
  <c r="AO21" i="3"/>
  <c r="AN22" i="3"/>
  <c r="AO22" i="3"/>
  <c r="AN23" i="3"/>
  <c r="AO23" i="3"/>
  <c r="AN24" i="3"/>
  <c r="AO24" i="3"/>
  <c r="AN25" i="3"/>
  <c r="AO25" i="3"/>
  <c r="AN27" i="3"/>
  <c r="AO27" i="3"/>
  <c r="AN28" i="3"/>
  <c r="AO28" i="3"/>
  <c r="AN29" i="3"/>
  <c r="AO29" i="3"/>
  <c r="AN30" i="3"/>
  <c r="AO30" i="3"/>
  <c r="AN31" i="3"/>
  <c r="AO31" i="3"/>
  <c r="AN32" i="3"/>
  <c r="AO32" i="3"/>
  <c r="AN33" i="3"/>
  <c r="AO33" i="3"/>
  <c r="AN34" i="3"/>
  <c r="AO34" i="3"/>
  <c r="AN35" i="3"/>
  <c r="AO35" i="3"/>
  <c r="AN36" i="3"/>
  <c r="AO36" i="3"/>
  <c r="AN37" i="3"/>
  <c r="AO37" i="3"/>
  <c r="AN38" i="3"/>
  <c r="AO38" i="3"/>
  <c r="AN39" i="3"/>
  <c r="AO39" i="3"/>
  <c r="AN40" i="3"/>
  <c r="AO40" i="3"/>
  <c r="AN41" i="3"/>
  <c r="AO41" i="3"/>
  <c r="AN42" i="3"/>
  <c r="AO42" i="3"/>
  <c r="AN43" i="3"/>
  <c r="AO43" i="3"/>
  <c r="AN44" i="3"/>
  <c r="AO44" i="3"/>
  <c r="AN45" i="3"/>
  <c r="AO45" i="3"/>
  <c r="AN46" i="3"/>
  <c r="AO46" i="3"/>
  <c r="AN47" i="3"/>
  <c r="AO47" i="3"/>
  <c r="AN48" i="3"/>
  <c r="AO48" i="3"/>
  <c r="AN49" i="3"/>
  <c r="AO49" i="3"/>
  <c r="AN50" i="3"/>
  <c r="AO50" i="3"/>
  <c r="AN51" i="3"/>
  <c r="AO51" i="3"/>
  <c r="AN52" i="3"/>
  <c r="AO52" i="3"/>
  <c r="AN53" i="3"/>
  <c r="AO53" i="3"/>
  <c r="AN54" i="3"/>
  <c r="AO54" i="3"/>
  <c r="AN55" i="3"/>
  <c r="AO55" i="3"/>
  <c r="AN56" i="3"/>
  <c r="AO56" i="3"/>
  <c r="AN57" i="3"/>
  <c r="AO57" i="3"/>
  <c r="AN58" i="3"/>
  <c r="AO58" i="3"/>
  <c r="AN59" i="3"/>
  <c r="AO59" i="3"/>
  <c r="AN60" i="3"/>
  <c r="AO60" i="3"/>
  <c r="AN61" i="3"/>
  <c r="AO61" i="3"/>
  <c r="AN62" i="3"/>
  <c r="AO62" i="3"/>
  <c r="AN63" i="3"/>
  <c r="AO63" i="3"/>
  <c r="AN64" i="3"/>
  <c r="AO64" i="3"/>
  <c r="AN65" i="3"/>
  <c r="AO65" i="3"/>
  <c r="AN66" i="3"/>
  <c r="AO66" i="3"/>
  <c r="AN67" i="3"/>
  <c r="AO67" i="3"/>
  <c r="AN68" i="3"/>
  <c r="AO68" i="3"/>
  <c r="AN69" i="3"/>
  <c r="AO69" i="3"/>
  <c r="AN70" i="3"/>
  <c r="AO70" i="3"/>
  <c r="AN71" i="3"/>
  <c r="AO71" i="3"/>
  <c r="AN72" i="3"/>
  <c r="AO72" i="3"/>
  <c r="AN73" i="3"/>
  <c r="AO73" i="3"/>
  <c r="AN74" i="3"/>
  <c r="AO74" i="3"/>
  <c r="AN75" i="3"/>
  <c r="AO75" i="3"/>
  <c r="AN76" i="3"/>
  <c r="AO76" i="3"/>
  <c r="AN77" i="3"/>
  <c r="AO77" i="3"/>
  <c r="AN78" i="3"/>
  <c r="AO78" i="3"/>
  <c r="AN79" i="3"/>
  <c r="AO79" i="3"/>
  <c r="AN80" i="3"/>
  <c r="AO80" i="3"/>
  <c r="AN81" i="3"/>
  <c r="AO81" i="3"/>
  <c r="AN82" i="3"/>
  <c r="AO82" i="3"/>
  <c r="AN83" i="3"/>
  <c r="AO83" i="3"/>
  <c r="AN84" i="3"/>
  <c r="AO84" i="3"/>
  <c r="AN85" i="3"/>
  <c r="AO85" i="3"/>
  <c r="AN86" i="3"/>
  <c r="AO86" i="3"/>
  <c r="AN87" i="3"/>
  <c r="AO87" i="3"/>
  <c r="AN88" i="3"/>
  <c r="AO88" i="3"/>
  <c r="AN89" i="3"/>
  <c r="AO89" i="3"/>
  <c r="AN90" i="3"/>
  <c r="AO90" i="3"/>
  <c r="AN91" i="3"/>
  <c r="AO91" i="3"/>
  <c r="AN92" i="3"/>
  <c r="AO92" i="3"/>
  <c r="AN93" i="3"/>
  <c r="AO93" i="3"/>
  <c r="AN94" i="3"/>
  <c r="AO94" i="3"/>
  <c r="AN95" i="3"/>
  <c r="AO95" i="3"/>
  <c r="AN96" i="3"/>
  <c r="AO96" i="3"/>
  <c r="AN97" i="3"/>
  <c r="AO97" i="3"/>
  <c r="AN98" i="3"/>
  <c r="AO98" i="3"/>
  <c r="AN99" i="3"/>
  <c r="AO99" i="3"/>
  <c r="AN100" i="3"/>
  <c r="AO100" i="3"/>
  <c r="AN102" i="3"/>
  <c r="AO102" i="3"/>
  <c r="AN103" i="3"/>
  <c r="AO103" i="3"/>
  <c r="AN104" i="3"/>
  <c r="AO104" i="3"/>
  <c r="AN105" i="3"/>
  <c r="AO105" i="3"/>
  <c r="AN106" i="3"/>
  <c r="AO106" i="3"/>
  <c r="AN107" i="3"/>
  <c r="AO107" i="3"/>
  <c r="AN108" i="3"/>
  <c r="AO108" i="3"/>
  <c r="AN109" i="3"/>
  <c r="AO109" i="3"/>
  <c r="AN110" i="3"/>
  <c r="AO110" i="3"/>
  <c r="AN111" i="3"/>
  <c r="AO111" i="3"/>
  <c r="AN112" i="3"/>
  <c r="AO112" i="3"/>
  <c r="AN113" i="3"/>
  <c r="AO113" i="3"/>
  <c r="AN114" i="3"/>
  <c r="AO114" i="3"/>
  <c r="AN115" i="3"/>
  <c r="AO115" i="3"/>
  <c r="AN116" i="3"/>
  <c r="AO116" i="3"/>
  <c r="AN117" i="3"/>
  <c r="AO117" i="3"/>
  <c r="AN118" i="3"/>
  <c r="AO118" i="3"/>
  <c r="AN119" i="3"/>
  <c r="AO119" i="3"/>
  <c r="AN120" i="3"/>
  <c r="AO120" i="3"/>
  <c r="AN121" i="3"/>
  <c r="AO121" i="3"/>
  <c r="AN122" i="3"/>
  <c r="AO122" i="3"/>
  <c r="AN123" i="3"/>
  <c r="AO123" i="3"/>
  <c r="AN124" i="3"/>
  <c r="AO124" i="3"/>
  <c r="AN125" i="3"/>
  <c r="AO125" i="3"/>
  <c r="AN126" i="3"/>
  <c r="AO126" i="3"/>
  <c r="AN127" i="3"/>
  <c r="AO127" i="3"/>
  <c r="AN128" i="3"/>
  <c r="AO128" i="3"/>
  <c r="AN129" i="3"/>
  <c r="AO129" i="3"/>
  <c r="AN130" i="3"/>
  <c r="AO130" i="3"/>
  <c r="AN131" i="3"/>
  <c r="AO131" i="3"/>
  <c r="AN132" i="3"/>
  <c r="AO132" i="3"/>
  <c r="AN133" i="3"/>
  <c r="AO133" i="3"/>
  <c r="AN134" i="3"/>
  <c r="AO134" i="3"/>
  <c r="AN135" i="3"/>
  <c r="AO135" i="3"/>
  <c r="AN136" i="3"/>
  <c r="AO136" i="3"/>
  <c r="AN137" i="3"/>
  <c r="AO137" i="3"/>
  <c r="AN138" i="3"/>
  <c r="AO138" i="3"/>
  <c r="AN139" i="3"/>
  <c r="AO139" i="3"/>
  <c r="AN140" i="3"/>
  <c r="AO140" i="3"/>
  <c r="AN141" i="3"/>
  <c r="AO141" i="3"/>
  <c r="AN142" i="3"/>
  <c r="AO142" i="3"/>
  <c r="AN143" i="3"/>
  <c r="AO143" i="3"/>
  <c r="AN144" i="3"/>
  <c r="AO144" i="3"/>
  <c r="AN145" i="3"/>
  <c r="AO145" i="3"/>
  <c r="AN146" i="3"/>
  <c r="AO146" i="3"/>
  <c r="AN147" i="3"/>
  <c r="AO147" i="3"/>
  <c r="AN148" i="3"/>
  <c r="AO148" i="3"/>
  <c r="AN149" i="3"/>
  <c r="AO149" i="3"/>
  <c r="AN150" i="3"/>
  <c r="AO150" i="3"/>
  <c r="AN151" i="3"/>
  <c r="AO151" i="3"/>
  <c r="AN152" i="3"/>
  <c r="AO152" i="3"/>
  <c r="AN153" i="3"/>
  <c r="AO153" i="3"/>
  <c r="AN154" i="3"/>
  <c r="AO154" i="3"/>
  <c r="AN155" i="3"/>
  <c r="AO155" i="3"/>
  <c r="AN157" i="3"/>
  <c r="AO157" i="3"/>
  <c r="AN158" i="3"/>
  <c r="AO158" i="3"/>
  <c r="AN159" i="3"/>
  <c r="AO159" i="3"/>
  <c r="AN160" i="3"/>
  <c r="AO160" i="3"/>
  <c r="AN161" i="3"/>
  <c r="AO161" i="3"/>
  <c r="AN162" i="3"/>
  <c r="AO162" i="3"/>
  <c r="AN163" i="3"/>
  <c r="AO163" i="3"/>
  <c r="AN164" i="3"/>
  <c r="AO164" i="3"/>
  <c r="AN165" i="3"/>
  <c r="AO165" i="3"/>
  <c r="AN166" i="3"/>
  <c r="AO166" i="3"/>
  <c r="AN167" i="3"/>
  <c r="AO167" i="3"/>
  <c r="AN168" i="3"/>
  <c r="AO168" i="3"/>
  <c r="AN169" i="3"/>
  <c r="AO169" i="3"/>
  <c r="AO2" i="3"/>
  <c r="AN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BF75" i="3" l="1"/>
  <c r="BF70" i="3"/>
  <c r="BF43" i="3"/>
  <c r="BF35" i="3"/>
  <c r="BF22" i="3"/>
  <c r="BF11" i="3"/>
  <c r="BF7" i="3"/>
  <c r="BF166" i="3"/>
  <c r="BF147" i="3"/>
  <c r="BF134" i="3"/>
  <c r="BF110" i="3"/>
  <c r="BF102" i="3"/>
  <c r="BF83" i="3"/>
  <c r="BF78" i="3"/>
  <c r="BF59" i="3"/>
  <c r="BF38" i="3"/>
  <c r="BF30" i="3"/>
  <c r="BF6" i="3"/>
  <c r="BF163" i="3"/>
  <c r="BF158" i="3"/>
  <c r="BF126" i="3"/>
  <c r="BF118" i="3"/>
  <c r="BF91" i="3"/>
  <c r="BC164" i="3"/>
  <c r="BC155" i="3"/>
  <c r="BC147" i="3"/>
  <c r="BC139" i="3"/>
  <c r="BC131" i="3"/>
  <c r="BC123" i="3"/>
  <c r="BC115" i="3"/>
  <c r="BC107" i="3"/>
  <c r="BC98" i="3"/>
  <c r="BC90" i="3"/>
  <c r="BC82" i="3"/>
  <c r="BC74" i="3"/>
  <c r="BC66" i="3"/>
  <c r="BC58" i="3"/>
  <c r="BC50" i="3"/>
  <c r="BC42" i="3"/>
  <c r="BC34" i="3"/>
  <c r="BC25" i="3"/>
  <c r="BC17" i="3"/>
  <c r="BC9" i="3"/>
  <c r="BB24" i="3"/>
  <c r="BB130" i="3"/>
  <c r="BB97" i="3"/>
  <c r="BB73" i="3"/>
  <c r="BB49" i="3"/>
  <c r="BB33" i="3"/>
  <c r="BB8" i="3"/>
  <c r="BB162" i="3"/>
  <c r="BB153" i="3"/>
  <c r="BB145" i="3"/>
  <c r="BB137" i="3"/>
  <c r="BB129" i="3"/>
  <c r="BB121" i="3"/>
  <c r="BB113" i="3"/>
  <c r="BB105" i="3"/>
  <c r="BB96" i="3"/>
  <c r="BB88" i="3"/>
  <c r="BB80" i="3"/>
  <c r="BB72" i="3"/>
  <c r="BB64" i="3"/>
  <c r="BB56" i="3"/>
  <c r="BB48" i="3"/>
  <c r="BB40" i="3"/>
  <c r="BB32" i="3"/>
  <c r="BB23" i="3"/>
  <c r="BB15" i="3"/>
  <c r="BB7" i="3"/>
  <c r="BB138" i="3"/>
  <c r="BB106" i="3"/>
  <c r="BB81" i="3"/>
  <c r="BB65" i="3"/>
  <c r="BB57" i="3"/>
  <c r="BB41" i="3"/>
  <c r="BB16" i="3"/>
  <c r="BB169" i="3"/>
  <c r="BB161" i="3"/>
  <c r="BB152" i="3"/>
  <c r="BB144" i="3"/>
  <c r="BB136" i="3"/>
  <c r="BB128" i="3"/>
  <c r="BB120" i="3"/>
  <c r="BB112" i="3"/>
  <c r="BB104" i="3"/>
  <c r="BB95" i="3"/>
  <c r="BB87" i="3"/>
  <c r="BB79" i="3"/>
  <c r="BB71" i="3"/>
  <c r="BB63" i="3"/>
  <c r="BB55" i="3"/>
  <c r="BB47" i="3"/>
  <c r="BB39" i="3"/>
  <c r="BB31" i="3"/>
  <c r="BB22" i="3"/>
  <c r="BB14" i="3"/>
  <c r="BB6" i="3"/>
  <c r="BC30" i="3"/>
  <c r="BB25" i="3"/>
  <c r="BB146" i="3"/>
  <c r="BB89" i="3"/>
  <c r="BB160" i="3"/>
  <c r="BB135" i="3"/>
  <c r="BC111" i="3"/>
  <c r="BC86" i="3"/>
  <c r="BC62" i="3"/>
  <c r="BC38" i="3"/>
  <c r="BB5" i="3"/>
  <c r="BB139" i="3"/>
  <c r="BB115" i="3"/>
  <c r="BB98" i="3"/>
  <c r="BB74" i="3"/>
  <c r="BB34" i="3"/>
  <c r="BB167" i="3"/>
  <c r="BB159" i="3"/>
  <c r="BB150" i="3"/>
  <c r="BB142" i="3"/>
  <c r="BB134" i="3"/>
  <c r="BB126" i="3"/>
  <c r="BB118" i="3"/>
  <c r="BB110" i="3"/>
  <c r="BB102" i="3"/>
  <c r="BB93" i="3"/>
  <c r="BB85" i="3"/>
  <c r="BB77" i="3"/>
  <c r="BB69" i="3"/>
  <c r="BB61" i="3"/>
  <c r="BC53" i="3"/>
  <c r="BB45" i="3"/>
  <c r="BB37" i="3"/>
  <c r="BB29" i="3"/>
  <c r="BB20" i="3"/>
  <c r="BB12" i="3"/>
  <c r="BB4" i="3"/>
  <c r="BC163" i="3"/>
  <c r="BC154" i="3"/>
  <c r="BC146" i="3"/>
  <c r="BC138" i="3"/>
  <c r="BC130" i="3"/>
  <c r="BC122" i="3"/>
  <c r="BC106" i="3"/>
  <c r="BC97" i="3"/>
  <c r="BC89" i="3"/>
  <c r="BC81" i="3"/>
  <c r="BC73" i="3"/>
  <c r="BC65" i="3"/>
  <c r="BC57" i="3"/>
  <c r="BC49" i="3"/>
  <c r="BC41" i="3"/>
  <c r="BC33" i="3"/>
  <c r="BC24" i="3"/>
  <c r="BC16" i="3"/>
  <c r="BC8" i="3"/>
  <c r="BB154" i="3"/>
  <c r="BB114" i="3"/>
  <c r="BB151" i="3"/>
  <c r="BC127" i="3"/>
  <c r="BC103" i="3"/>
  <c r="BB78" i="3"/>
  <c r="BC46" i="3"/>
  <c r="BB13" i="3"/>
  <c r="BB155" i="3"/>
  <c r="BB123" i="3"/>
  <c r="BB107" i="3"/>
  <c r="BB90" i="3"/>
  <c r="BB58" i="3"/>
  <c r="BB42" i="3"/>
  <c r="BB166" i="3"/>
  <c r="BB158" i="3"/>
  <c r="BB149" i="3"/>
  <c r="BB141" i="3"/>
  <c r="BB133" i="3"/>
  <c r="BB125" i="3"/>
  <c r="BB117" i="3"/>
  <c r="BB109" i="3"/>
  <c r="BB100" i="3"/>
  <c r="BB92" i="3"/>
  <c r="BB84" i="3"/>
  <c r="BB76" i="3"/>
  <c r="BB68" i="3"/>
  <c r="BB60" i="3"/>
  <c r="BB52" i="3"/>
  <c r="BB44" i="3"/>
  <c r="BB36" i="3"/>
  <c r="BB28" i="3"/>
  <c r="BB19" i="3"/>
  <c r="BB11" i="3"/>
  <c r="BB3" i="3"/>
  <c r="BB163" i="3"/>
  <c r="BB122" i="3"/>
  <c r="BB168" i="3"/>
  <c r="BB143" i="3"/>
  <c r="BB119" i="3"/>
  <c r="BB94" i="3"/>
  <c r="BB70" i="3"/>
  <c r="BB54" i="3"/>
  <c r="BB21" i="3"/>
  <c r="BB164" i="3"/>
  <c r="BB147" i="3"/>
  <c r="BB131" i="3"/>
  <c r="BB82" i="3"/>
  <c r="BB66" i="3"/>
  <c r="BB50" i="3"/>
  <c r="BB17" i="3"/>
  <c r="BB165" i="3"/>
  <c r="BB157" i="3"/>
  <c r="BB148" i="3"/>
  <c r="BB140" i="3"/>
  <c r="BB132" i="3"/>
  <c r="BB124" i="3"/>
  <c r="BB116" i="3"/>
  <c r="BB108" i="3"/>
  <c r="BB99" i="3"/>
  <c r="BB91" i="3"/>
  <c r="BB83" i="3"/>
  <c r="BB75" i="3"/>
  <c r="BB67" i="3"/>
  <c r="BB59" i="3"/>
  <c r="BB51" i="3"/>
  <c r="BB43" i="3"/>
  <c r="BB35" i="3"/>
  <c r="BB27" i="3"/>
  <c r="BB18" i="3"/>
  <c r="BB10" i="3"/>
  <c r="BC2" i="3"/>
  <c r="BB9" i="3"/>
  <c r="BC169" i="3"/>
  <c r="BC165" i="3"/>
  <c r="BC161" i="3"/>
  <c r="BC157" i="3"/>
  <c r="BC152" i="3"/>
  <c r="BC148" i="3"/>
  <c r="BC144" i="3"/>
  <c r="BC140" i="3"/>
  <c r="BC136" i="3"/>
  <c r="BC132" i="3"/>
  <c r="BC128" i="3"/>
  <c r="BC124" i="3"/>
  <c r="BC120" i="3"/>
  <c r="BC116" i="3"/>
  <c r="BC112" i="3"/>
  <c r="BC108" i="3"/>
  <c r="BC104" i="3"/>
  <c r="BC99" i="3"/>
  <c r="BC95" i="3"/>
  <c r="BC91" i="3"/>
  <c r="BC87" i="3"/>
  <c r="BC83" i="3"/>
  <c r="BC79" i="3"/>
  <c r="BC75" i="3"/>
  <c r="BC71" i="3"/>
  <c r="BC67" i="3"/>
  <c r="BC63" i="3"/>
  <c r="BC59" i="3"/>
  <c r="BC55" i="3"/>
  <c r="BC51" i="3"/>
  <c r="BC47" i="3"/>
  <c r="BC43" i="3"/>
  <c r="BC39" i="3"/>
  <c r="BC35" i="3"/>
  <c r="BC31" i="3"/>
  <c r="BC27" i="3"/>
  <c r="BC22" i="3"/>
  <c r="BC18" i="3"/>
  <c r="BC14" i="3"/>
  <c r="BC10" i="3"/>
  <c r="BC6" i="3"/>
  <c r="BB127" i="3"/>
  <c r="BB46" i="3"/>
  <c r="BB38" i="3"/>
  <c r="BB30" i="3"/>
  <c r="BC150" i="3"/>
  <c r="BB111" i="3"/>
  <c r="BB103" i="3"/>
  <c r="BB86" i="3"/>
  <c r="BB62" i="3"/>
  <c r="BC168" i="3"/>
  <c r="BC160" i="3"/>
  <c r="BC151" i="3"/>
  <c r="BC143" i="3"/>
  <c r="BC135" i="3"/>
  <c r="BC119" i="3"/>
  <c r="BC94" i="3"/>
  <c r="BC78" i="3"/>
  <c r="BC70" i="3"/>
  <c r="BC54" i="3"/>
  <c r="BC21" i="3"/>
  <c r="BC13" i="3"/>
  <c r="BC5" i="3"/>
  <c r="BC167" i="3"/>
  <c r="BC159" i="3"/>
  <c r="BC142" i="3"/>
  <c r="BC134" i="3"/>
  <c r="BC126" i="3"/>
  <c r="BC118" i="3"/>
  <c r="BC114" i="3"/>
  <c r="BC110" i="3"/>
  <c r="BC102" i="3"/>
  <c r="BC93" i="3"/>
  <c r="BC85" i="3"/>
  <c r="BC77" i="3"/>
  <c r="BC69" i="3"/>
  <c r="BC61" i="3"/>
  <c r="BC45" i="3"/>
  <c r="BC37" i="3"/>
  <c r="BC29" i="3"/>
  <c r="BC20" i="3"/>
  <c r="BC12" i="3"/>
  <c r="BC4" i="3"/>
  <c r="BB53" i="3"/>
  <c r="BB2" i="3"/>
  <c r="BC166" i="3"/>
  <c r="BC162" i="3"/>
  <c r="BC158" i="3"/>
  <c r="BC153" i="3"/>
  <c r="BC149" i="3"/>
  <c r="BC145" i="3"/>
  <c r="BC141" i="3"/>
  <c r="BC137" i="3"/>
  <c r="BC133" i="3"/>
  <c r="BC129" i="3"/>
  <c r="BC125" i="3"/>
  <c r="BC121" i="3"/>
  <c r="BC117" i="3"/>
  <c r="BC113" i="3"/>
  <c r="BC109" i="3"/>
  <c r="BC105" i="3"/>
  <c r="BC100" i="3"/>
  <c r="BC96" i="3"/>
  <c r="BC92" i="3"/>
  <c r="BC88" i="3"/>
  <c r="BC84" i="3"/>
  <c r="BC80" i="3"/>
  <c r="BC76" i="3"/>
  <c r="BC72" i="3"/>
  <c r="BC68" i="3"/>
  <c r="BC64" i="3"/>
  <c r="BC60" i="3"/>
  <c r="BC56" i="3"/>
  <c r="BC52" i="3"/>
  <c r="BC48" i="3"/>
  <c r="BC44" i="3"/>
  <c r="BC40" i="3"/>
  <c r="BC36" i="3"/>
  <c r="BC32" i="3"/>
  <c r="BC28" i="3"/>
  <c r="BC23" i="3"/>
  <c r="BC19" i="3"/>
  <c r="BC15" i="3"/>
  <c r="BC11" i="3"/>
  <c r="BC7" i="3"/>
  <c r="BC3" i="3"/>
</calcChain>
</file>

<file path=xl/sharedStrings.xml><?xml version="1.0" encoding="utf-8"?>
<sst xmlns="http://purl.oclc.org/ooxml/spreadsheetml/main" count="1677" uniqueCount="626">
  <si>
    <t>...1</t>
  </si>
  <si>
    <t>NEWSTUDYID</t>
  </si>
  <si>
    <t>servicedog_or_waitlist</t>
  </si>
  <si>
    <t>StartDate_base</t>
  </si>
  <si>
    <t>RecordedDate_base</t>
  </si>
  <si>
    <t>ResponseId_base</t>
  </si>
  <si>
    <t>VR_1_base</t>
  </si>
  <si>
    <t>VR_2_1_base</t>
  </si>
  <si>
    <t>VR_2_2_base</t>
  </si>
  <si>
    <t>VR_3_1_base</t>
  </si>
  <si>
    <t>VR_3_2_base</t>
  </si>
  <si>
    <t>VR_4_1_base</t>
  </si>
  <si>
    <t>VR_4_2_base</t>
  </si>
  <si>
    <t>VR_5_base</t>
  </si>
  <si>
    <t>VR_6_1_base</t>
  </si>
  <si>
    <t>VR_6_2_base</t>
  </si>
  <si>
    <t>VR_6_3_base</t>
  </si>
  <si>
    <t>VR_7_base</t>
  </si>
  <si>
    <t>VR_8_1_base</t>
  </si>
  <si>
    <t>VR_8_2_base</t>
  </si>
  <si>
    <t>StartDate_follow</t>
  </si>
  <si>
    <t>RecordedDate_follow</t>
  </si>
  <si>
    <t>ResponseId_follow</t>
  </si>
  <si>
    <t>VR_1_follow</t>
  </si>
  <si>
    <t>VR_2_1_follow</t>
  </si>
  <si>
    <t>VR_2_2_follow</t>
  </si>
  <si>
    <t>VR_3_1_follow</t>
  </si>
  <si>
    <t>VR_3_2_follow</t>
  </si>
  <si>
    <t>VR_4_1_follow</t>
  </si>
  <si>
    <t>VR_4_2_follow</t>
  </si>
  <si>
    <t>VR_5_follow</t>
  </si>
  <si>
    <t>VR_6_1_follow</t>
  </si>
  <si>
    <t>VR_6_2_follow</t>
  </si>
  <si>
    <t>VR_6_3_follow</t>
  </si>
  <si>
    <t>VR_7_follow</t>
  </si>
  <si>
    <t>VR_8_1_follow</t>
  </si>
  <si>
    <t>VR_8_2_follow</t>
  </si>
  <si>
    <t>PCS_follow</t>
  </si>
  <si>
    <t>MCS_follow</t>
  </si>
  <si>
    <t>W001</t>
  </si>
  <si>
    <t>Service Dog</t>
  </si>
  <si>
    <t>R_1H8mOkC9gWc8alb</t>
  </si>
  <si>
    <t>W002</t>
  </si>
  <si>
    <t>R_3HFY6e8OYhGXMmn</t>
  </si>
  <si>
    <t>R_1flPAQESaqR9sja</t>
  </si>
  <si>
    <t>W003</t>
  </si>
  <si>
    <t>R_OwoXUJIHAtK4IRH</t>
  </si>
  <si>
    <t>R_Qbw9tbRtJI9IaQN</t>
  </si>
  <si>
    <t>W004</t>
  </si>
  <si>
    <t>R_10Vn7lW7AcLLanl</t>
  </si>
  <si>
    <t>R_2yqkPxhaMYzpZLT</t>
  </si>
  <si>
    <t>W005</t>
  </si>
  <si>
    <t>R_239NvWJ7JxNp4Kz</t>
  </si>
  <si>
    <t>R_3frwEU6rchx1ZTO</t>
  </si>
  <si>
    <t>W006</t>
  </si>
  <si>
    <t>R_qPbjfK2yIbZx3fX</t>
  </si>
  <si>
    <t>R_1PaXf3irhFjhxWx</t>
  </si>
  <si>
    <t>W007</t>
  </si>
  <si>
    <t>R_1jv1mh49BRHDLBm</t>
  </si>
  <si>
    <t>R_3qW1qGNeh4DLAkH</t>
  </si>
  <si>
    <t>W008</t>
  </si>
  <si>
    <t>R_1INpk66EWatuc8o</t>
  </si>
  <si>
    <t>R_2AG8NinkqY27wLu</t>
  </si>
  <si>
    <t>W009</t>
  </si>
  <si>
    <t>R_1mI83um4481Zzqy</t>
  </si>
  <si>
    <t>R_3GkWex4FOgknZit</t>
  </si>
  <si>
    <t>W010</t>
  </si>
  <si>
    <t>R_1fZrydDNKBDDxsS</t>
  </si>
  <si>
    <t>R_24BItSneADJglqm</t>
  </si>
  <si>
    <t>W011</t>
  </si>
  <si>
    <t>R_2aK06vFqZVR9aUW</t>
  </si>
  <si>
    <t>R_2tLLRY8rMtn8mt3</t>
  </si>
  <si>
    <t>W012</t>
  </si>
  <si>
    <t>R_2UeYFbC871hwD1I</t>
  </si>
  <si>
    <t>R_2E6630qCzSQpYoV</t>
  </si>
  <si>
    <t>W013</t>
  </si>
  <si>
    <t>R_vrapGkM8IAN9Hyx</t>
  </si>
  <si>
    <t>W014</t>
  </si>
  <si>
    <t>R_ump8lQYxrKRozUB</t>
  </si>
  <si>
    <t>R_2EhtKlArVUIer45</t>
  </si>
  <si>
    <t>W015</t>
  </si>
  <si>
    <t>R_1GKzIZj63UL7rrD</t>
  </si>
  <si>
    <t>W016</t>
  </si>
  <si>
    <t>R_UxwJDFCo0tYuRCp</t>
  </si>
  <si>
    <t>R_WpmoFAGeYaL7qqR</t>
  </si>
  <si>
    <t>W017</t>
  </si>
  <si>
    <t>R_1Dw1RtoKPlOTs4S</t>
  </si>
  <si>
    <t>W018</t>
  </si>
  <si>
    <t>R_3sc53N7lL6qxesm</t>
  </si>
  <si>
    <t>R_2RQ8XhwrFM9Fp78</t>
  </si>
  <si>
    <t>W019</t>
  </si>
  <si>
    <t>R_2wzPaZ3aCAg87JG</t>
  </si>
  <si>
    <t>R_7OPbuQdx2nEPcpr</t>
  </si>
  <si>
    <t>W020</t>
  </si>
  <si>
    <t>R_xfjkWNLWCUqS07L</t>
  </si>
  <si>
    <t>R_3EKjaQdMq76nt6n</t>
  </si>
  <si>
    <t>W021</t>
  </si>
  <si>
    <t>R_XuoGXOLf9o8n9jb</t>
  </si>
  <si>
    <t>R_2fy6Ex4unorR3cR</t>
  </si>
  <si>
    <t>W022</t>
  </si>
  <si>
    <t>R_1Kqegl0Yfc5nyVG</t>
  </si>
  <si>
    <t>R_2YPK0F8WJy61ryd</t>
  </si>
  <si>
    <t>W023</t>
  </si>
  <si>
    <t>R_3m7ZBVQIkpGpLZp</t>
  </si>
  <si>
    <t>R_25H1GZflqQOdZRN</t>
  </si>
  <si>
    <t>W024</t>
  </si>
  <si>
    <t>R_D5HFgwD9kfTMaiZ</t>
  </si>
  <si>
    <t>R_2XiVoaPZrGlvjZU</t>
  </si>
  <si>
    <t>W025</t>
  </si>
  <si>
    <t>R_8kSQeUmclzFSIVz</t>
  </si>
  <si>
    <t>W026</t>
  </si>
  <si>
    <t>Waitlist</t>
  </si>
  <si>
    <t>R_28BqbPDa3MIm2Ol</t>
  </si>
  <si>
    <t>R_2aFhG9fFYsj5WJz</t>
  </si>
  <si>
    <t>W027</t>
  </si>
  <si>
    <t>R_124hcDRGSmdgTw6</t>
  </si>
  <si>
    <t>W028</t>
  </si>
  <si>
    <t>R_wTNNc9MV7qlLiOl</t>
  </si>
  <si>
    <t>R_pc2yolNM9in4DLj</t>
  </si>
  <si>
    <t>W029</t>
  </si>
  <si>
    <t>R_32YgOMGxoAhfCE4</t>
  </si>
  <si>
    <t>R_3kMID1TlOzw3jHT</t>
  </si>
  <si>
    <t>W030</t>
  </si>
  <si>
    <t>R_1kZDbDiwalHfAvc</t>
  </si>
  <si>
    <t>R_9tqGBHGOFj6ceCl</t>
  </si>
  <si>
    <t>W031</t>
  </si>
  <si>
    <t>R_3Pv38KywQSic1P2</t>
  </si>
  <si>
    <t>R_3nxzY0AbbsJKBUo</t>
  </si>
  <si>
    <t>W032</t>
  </si>
  <si>
    <t>R_3nNxEqWP6y58SLV</t>
  </si>
  <si>
    <t>R_efceHDC4mWLH6qB</t>
  </si>
  <si>
    <t>W033</t>
  </si>
  <si>
    <t>R_3nME0hIz8A42LtU</t>
  </si>
  <si>
    <t>R_884z8kur00KQoSJ</t>
  </si>
  <si>
    <t>W034</t>
  </si>
  <si>
    <t>R_2dtIUEZkKGUKoJN</t>
  </si>
  <si>
    <t>R_8iT1ymblVqAlgFr</t>
  </si>
  <si>
    <t>W035</t>
  </si>
  <si>
    <t>R_Z2xo7Rrw7h4NdIJ</t>
  </si>
  <si>
    <t>R_20ULbMx6gYGAu1d</t>
  </si>
  <si>
    <t>W036</t>
  </si>
  <si>
    <t>R_3GcT6Nn3nSrHAsb</t>
  </si>
  <si>
    <t>R_2ab2EaW175lpuvO</t>
  </si>
  <si>
    <t>W037</t>
  </si>
  <si>
    <t>R_ZqJyj8txx8gmDjr</t>
  </si>
  <si>
    <t>R_xsYnoTWKkbBeJWx</t>
  </si>
  <si>
    <t>W039</t>
  </si>
  <si>
    <t>R_1LNYpGJ9TD7h4Pl</t>
  </si>
  <si>
    <t>R_PLPwJ3dtpGBITtf</t>
  </si>
  <si>
    <t>W040</t>
  </si>
  <si>
    <t>R_3gR6Uv4mmJmXlyC</t>
  </si>
  <si>
    <t>R_qXvWwh8Rq7NYesh</t>
  </si>
  <si>
    <t>W041</t>
  </si>
  <si>
    <t>R_27QH17nNqQ1rmxN</t>
  </si>
  <si>
    <t>R_aW4uaL6sUH83kxb</t>
  </si>
  <si>
    <t>W042</t>
  </si>
  <si>
    <t>R_3D1kMMRGxHoCEO9</t>
  </si>
  <si>
    <t>R_2YKAKC6oLr9Jipr</t>
  </si>
  <si>
    <t>W044</t>
  </si>
  <si>
    <t>R_31TrzgVYUUgsxm5</t>
  </si>
  <si>
    <t>R_3lYXjKYZrZOMCKm</t>
  </si>
  <si>
    <t>W045</t>
  </si>
  <si>
    <t>R_1q8ulGkNny9MOuY</t>
  </si>
  <si>
    <t>R_2aRJSXAaHtyM70B</t>
  </si>
  <si>
    <t>W046</t>
  </si>
  <si>
    <t>R_2DZfFkhLHpLbKzr</t>
  </si>
  <si>
    <t>R_2CDMiollUafuoSj</t>
  </si>
  <si>
    <t>W047</t>
  </si>
  <si>
    <t>R_31QsrcKTVvLmEDK</t>
  </si>
  <si>
    <t>W048</t>
  </si>
  <si>
    <t>R_21p1B9PFrnYXEcJ</t>
  </si>
  <si>
    <t>W049</t>
  </si>
  <si>
    <t>R_3O2Mu0rmg3nGvYN</t>
  </si>
  <si>
    <t>R_6x6wKk1HBQphcsx</t>
  </si>
  <si>
    <t>W050</t>
  </si>
  <si>
    <t>R_2YxMrGOfU8F3YTT</t>
  </si>
  <si>
    <t>R_3FIkMDhRJlURN1f</t>
  </si>
  <si>
    <t>W051</t>
  </si>
  <si>
    <t>R_tRSTXKE9RGLKDEl</t>
  </si>
  <si>
    <t>W052</t>
  </si>
  <si>
    <t>R_3KW9vsGIvspZ8c5</t>
  </si>
  <si>
    <t>W053</t>
  </si>
  <si>
    <t>R_2aWF0WzTtjSZqYg</t>
  </si>
  <si>
    <t>R_1gOyq2nN7vvUDX3</t>
  </si>
  <si>
    <t>W054</t>
  </si>
  <si>
    <t>R_OkgYicR0NPegm3f</t>
  </si>
  <si>
    <t>W057</t>
  </si>
  <si>
    <t>R_1Ea3S7gi5pfxuVL</t>
  </si>
  <si>
    <t>R_9zQLgXgpicCyBFf</t>
  </si>
  <si>
    <t>W058</t>
  </si>
  <si>
    <t>R_3fx1R9h1Y6p5ND3</t>
  </si>
  <si>
    <t>R_3LYG2PBsSHtiQeH</t>
  </si>
  <si>
    <t>W059</t>
  </si>
  <si>
    <t>R_z68EXoaEDDZtqtH</t>
  </si>
  <si>
    <t>R_W8rRVY1NpGFUqDT</t>
  </si>
  <si>
    <t>W061</t>
  </si>
  <si>
    <t>R_3JIa4Zl67hHqygh</t>
  </si>
  <si>
    <t>R_tKiS4eoeCiSrwWd</t>
  </si>
  <si>
    <t>W063</t>
  </si>
  <si>
    <t>R_1K0VHHLyn1k2Mcq</t>
  </si>
  <si>
    <t>R_237CjOCQhtPqfJx</t>
  </si>
  <si>
    <t>W064</t>
  </si>
  <si>
    <t>R_A03UicB8IW92ujf</t>
  </si>
  <si>
    <t>R_xy0t4U9FcyyGpRn</t>
  </si>
  <si>
    <t>W065</t>
  </si>
  <si>
    <t>R_22RhST0nFlmHLoM</t>
  </si>
  <si>
    <t>R_BFLp8kgTfeiaF5T</t>
  </si>
  <si>
    <t>W066</t>
  </si>
  <si>
    <t>R_2PAoxuC93EF5m8S</t>
  </si>
  <si>
    <t>R_33eDd1vhDw0j5bn</t>
  </si>
  <si>
    <t>W067</t>
  </si>
  <si>
    <t>R_w7y9Vn3mKDvQPzH</t>
  </si>
  <si>
    <t>W069</t>
  </si>
  <si>
    <t>R_1d16JM3G0mTRnfN</t>
  </si>
  <si>
    <t>R_1rGmGRtqIgimKMk</t>
  </si>
  <si>
    <t>W071</t>
  </si>
  <si>
    <t>R_1rcZZ3b7wRlNrMj</t>
  </si>
  <si>
    <t>W072</t>
  </si>
  <si>
    <t>R_1MMaOfeJUyGTbIu</t>
  </si>
  <si>
    <t>R_1jU102oDHbNZage</t>
  </si>
  <si>
    <t>W073</t>
  </si>
  <si>
    <t>R_2uvLXmMJ8v2Lxmj</t>
  </si>
  <si>
    <t>R_1DHZSISXbqnQjVI</t>
  </si>
  <si>
    <t>W074</t>
  </si>
  <si>
    <t>R_31bZMFQxJweJsIR</t>
  </si>
  <si>
    <t>R_216P97LfP2jy7hL</t>
  </si>
  <si>
    <t>W075</t>
  </si>
  <si>
    <t>R_3nlxEB2UsQkBcUB</t>
  </si>
  <si>
    <t>R_1ImyIGmit0rqZNE</t>
  </si>
  <si>
    <t>W076</t>
  </si>
  <si>
    <t>R_2c2fsw5yUnja05S</t>
  </si>
  <si>
    <t>R_12m1M2pOyioTNSx</t>
  </si>
  <si>
    <t>W077</t>
  </si>
  <si>
    <t>R_1IFs4qP1XUR5K6z</t>
  </si>
  <si>
    <t>R_297gEct8261Ykb2</t>
  </si>
  <si>
    <t>W078</t>
  </si>
  <si>
    <t>R_3Kq10VEP5rJW5QL</t>
  </si>
  <si>
    <t>R_1JPzghxfkEs4bOG</t>
  </si>
  <si>
    <t>W079</t>
  </si>
  <si>
    <t>R_3LiCCpmjqFiKtYy</t>
  </si>
  <si>
    <t>R_3rS1HS9NFJqhSRv</t>
  </si>
  <si>
    <t>W080</t>
  </si>
  <si>
    <t>R_3fJDxfEujEIeOat</t>
  </si>
  <si>
    <t>R_12tHjAumlmG4QhU</t>
  </si>
  <si>
    <t>W082</t>
  </si>
  <si>
    <t>R_3LcD78sh5ATFVbZ</t>
  </si>
  <si>
    <t>W084</t>
  </si>
  <si>
    <t>R_1dmeyKheNndBANM</t>
  </si>
  <si>
    <t>R_2qyr0CTzgSNL4ow</t>
  </si>
  <si>
    <t>W085</t>
  </si>
  <si>
    <t>R_1ds3cVsSem4htho</t>
  </si>
  <si>
    <t>R_ZqRqJX4WYbM0J8t</t>
  </si>
  <si>
    <t>W086</t>
  </si>
  <si>
    <t>R_6Ax3LmHEfNDREhX</t>
  </si>
  <si>
    <t>R_3oYJbwosg0RDBb6</t>
  </si>
  <si>
    <t>W087</t>
  </si>
  <si>
    <t>R_vUk1xtCnaNdY6el</t>
  </si>
  <si>
    <t>R_baa2sq8yrSgu9Oh</t>
  </si>
  <si>
    <t>W089</t>
  </si>
  <si>
    <t>R_1gduvxPTHmZPzMx</t>
  </si>
  <si>
    <t>W090</t>
  </si>
  <si>
    <t>R_3EG6qk3mdmL1sOp</t>
  </si>
  <si>
    <t>R_25EkTmSYT3j94oQ</t>
  </si>
  <si>
    <t>W091</t>
  </si>
  <si>
    <t>R_5vSu6XTkgGls1hf</t>
  </si>
  <si>
    <t>R_1gGf1Q89LFUUwsj</t>
  </si>
  <si>
    <t>W092</t>
  </si>
  <si>
    <t>R_3eqmsu8MmNWmv6g</t>
  </si>
  <si>
    <t>R_NW1veyZAwa8h8v7</t>
  </si>
  <si>
    <t>W093</t>
  </si>
  <si>
    <t>R_PwDxecam2WGJCGB</t>
  </si>
  <si>
    <t>R_DcwFV8AOq82jlx7</t>
  </si>
  <si>
    <t>W094</t>
  </si>
  <si>
    <t>R_1ffjgj85etOM8jG</t>
  </si>
  <si>
    <t>W095</t>
  </si>
  <si>
    <t>R_29oFvwPNA5oFzMc</t>
  </si>
  <si>
    <t>R_1i2qMNMUXG0gELs</t>
  </si>
  <si>
    <t>W096</t>
  </si>
  <si>
    <t>R_3HhrImUSnlNqIm4</t>
  </si>
  <si>
    <t>R_1Lh60r1NncBgFbv</t>
  </si>
  <si>
    <t>W097</t>
  </si>
  <si>
    <t>R_3psbTwZg8DW4pCQ</t>
  </si>
  <si>
    <t>R_b1vRyp5tlxnKIBr</t>
  </si>
  <si>
    <t>W098</t>
  </si>
  <si>
    <t>R_2QSBpSfXlpZlD9N</t>
  </si>
  <si>
    <t>R_3mefCngJobee5qS</t>
  </si>
  <si>
    <t>W099</t>
  </si>
  <si>
    <t>R_2e9fRulGQYf1AWP</t>
  </si>
  <si>
    <t>R_28MThS00RfnukSV</t>
  </si>
  <si>
    <t>W100</t>
  </si>
  <si>
    <t>R_3n3FtfayTXQHtrr</t>
  </si>
  <si>
    <t>R_0v5JI6OImb9WMMx</t>
  </si>
  <si>
    <t>W101</t>
  </si>
  <si>
    <t>R_1q9Ur9BEdOPnPWx</t>
  </si>
  <si>
    <t>R_215Fm2lOyjklRIM</t>
  </si>
  <si>
    <t>W102</t>
  </si>
  <si>
    <t>R_269CxpiZ5KOE6pJ</t>
  </si>
  <si>
    <t>R_2P87HSeDqasCpGB</t>
  </si>
  <si>
    <t>W103</t>
  </si>
  <si>
    <t>R_1DGCqL1rIWAFqfi</t>
  </si>
  <si>
    <t>R_1op7WrWjuLszYgz</t>
  </si>
  <si>
    <t>W104</t>
  </si>
  <si>
    <t>R_0MQF0Ac3QZ8MOjv</t>
  </si>
  <si>
    <t>R_sX9aNblvaOHUh5T</t>
  </si>
  <si>
    <t>W106</t>
  </si>
  <si>
    <t>R_3HNskV5OusriwlX</t>
  </si>
  <si>
    <t>W107</t>
  </si>
  <si>
    <t>R_O3tUvIrcgEndXyN</t>
  </si>
  <si>
    <t>R_1DBcdkPoMSaxmJg</t>
  </si>
  <si>
    <t>W108</t>
  </si>
  <si>
    <t>R_A0CopKHoxdFSqel</t>
  </si>
  <si>
    <t>R_PHQG03UEPUqEj85</t>
  </si>
  <si>
    <t>W109</t>
  </si>
  <si>
    <t>R_2sZtIymuXLvrts7</t>
  </si>
  <si>
    <t>R_2fJb0vbxMdQUrew</t>
  </si>
  <si>
    <t>W110</t>
  </si>
  <si>
    <t>R_2zpCPB4ZzcaeIkS</t>
  </si>
  <si>
    <t>R_cY27cBFhxxv5qeJ</t>
  </si>
  <si>
    <t>W111</t>
  </si>
  <si>
    <t>R_2WZSU8DbPVqUmOO</t>
  </si>
  <si>
    <t>R_2Y2QUs2neJQ2rch</t>
  </si>
  <si>
    <t>W112</t>
  </si>
  <si>
    <t>R_26ethsoUEKEiRX2</t>
  </si>
  <si>
    <t>R_wZ728ATPgedcUlX</t>
  </si>
  <si>
    <t>W113</t>
  </si>
  <si>
    <t>R_1ozrzVrdvJPFXww</t>
  </si>
  <si>
    <t>R_3kMpMAeLRQDdanR</t>
  </si>
  <si>
    <t>W114</t>
  </si>
  <si>
    <t>R_PIopSCECirNpJy9</t>
  </si>
  <si>
    <t>R_1jJ5QmjS0q6M2l5</t>
  </si>
  <si>
    <t>W116</t>
  </si>
  <si>
    <t>R_pH2eJ9wnTjPwowN</t>
  </si>
  <si>
    <t>R_3fUUOxQEjNgHND3</t>
  </si>
  <si>
    <t>W117</t>
  </si>
  <si>
    <t>R_8q2njN6S4X7qN1v</t>
  </si>
  <si>
    <t>R_2fxt0HgfmONf4bs</t>
  </si>
  <si>
    <t>W119</t>
  </si>
  <si>
    <t>R_tFJUj91fk23C9wZ</t>
  </si>
  <si>
    <t>R_232B7paIjgfJuy5</t>
  </si>
  <si>
    <t>W120</t>
  </si>
  <si>
    <t>R_Xh6VSOlT53xfwZz</t>
  </si>
  <si>
    <t>R_2wAky9L85CGs5IX</t>
  </si>
  <si>
    <t>W122</t>
  </si>
  <si>
    <t>R_1mhjlVhItMEexMp</t>
  </si>
  <si>
    <t>R_1Fn5kAv5SUx7n0j</t>
  </si>
  <si>
    <t>W123</t>
  </si>
  <si>
    <t>R_2X68sASauCfC8od</t>
  </si>
  <si>
    <t>R_agiruDPnTTpXnRn</t>
  </si>
  <si>
    <t>W124</t>
  </si>
  <si>
    <t>R_2u9lRfShC9ENk53</t>
  </si>
  <si>
    <t>R_31dvxorrf5X9EUA</t>
  </si>
  <si>
    <t>W125</t>
  </si>
  <si>
    <t>R_xlzsMi1vJ6MOISJ</t>
  </si>
  <si>
    <t>R_3xBSuUyMfgUSK8F</t>
  </si>
  <si>
    <t>W126</t>
  </si>
  <si>
    <t>R_3JcDIZddbePiEaR</t>
  </si>
  <si>
    <t>R_2xYrFNkCr5Pm0sd</t>
  </si>
  <si>
    <t>W129</t>
  </si>
  <si>
    <t>R_9KPP47ot9YULqrD</t>
  </si>
  <si>
    <t>R_2awzoMXwbeIm9k6</t>
  </si>
  <si>
    <t>W130</t>
  </si>
  <si>
    <t>R_1flbOe13jqQOm3C</t>
  </si>
  <si>
    <t>W131</t>
  </si>
  <si>
    <t>R_2wsLr1KhQRxBMl8</t>
  </si>
  <si>
    <t>W132</t>
  </si>
  <si>
    <t>R_2xWxqlC3JLJS325</t>
  </si>
  <si>
    <t>R_22J5YGIyrjtySns</t>
  </si>
  <si>
    <t>W133</t>
  </si>
  <si>
    <t>R_2SkUCBmfFtn7j7T</t>
  </si>
  <si>
    <t>R_2DMLwk4QRTIitOU</t>
  </si>
  <si>
    <t>W134</t>
  </si>
  <si>
    <t>R_1QK6z88CBEGyDLH</t>
  </si>
  <si>
    <t>R_x2XRiEqjYMWjOBr</t>
  </si>
  <si>
    <t>W135</t>
  </si>
  <si>
    <t>R_0VRZ4qTfjjLbVkJ</t>
  </si>
  <si>
    <t>R_vrf0jYUizUsSJbP</t>
  </si>
  <si>
    <t>W136</t>
  </si>
  <si>
    <t>R_beFxXtRmXtBLCwh</t>
  </si>
  <si>
    <t>R_1hQD69rUjeQgGBH</t>
  </si>
  <si>
    <t>W137</t>
  </si>
  <si>
    <t>R_3ekUkFvejQc027m</t>
  </si>
  <si>
    <t>R_2XpnOaHRDaHiYSa</t>
  </si>
  <si>
    <t>W138</t>
  </si>
  <si>
    <t>R_3Di05a6Uw5RHdsF</t>
  </si>
  <si>
    <t>R_3OrIUI6lEcUWiMa</t>
  </si>
  <si>
    <t>W139</t>
  </si>
  <si>
    <t>R_3dXJfwR2dAon4I3</t>
  </si>
  <si>
    <t>R_1IzLc30IUp1wdk9</t>
  </si>
  <si>
    <t>W140</t>
  </si>
  <si>
    <t>R_bdsJgrbjLaEhsJj</t>
  </si>
  <si>
    <t>R_3lG3Xb6k0GvRG7U</t>
  </si>
  <si>
    <t>W141</t>
  </si>
  <si>
    <t>R_sSuQ7MUxAfAK1J7</t>
  </si>
  <si>
    <t>R_20YV5Ck1cHi9M3n</t>
  </si>
  <si>
    <t>W142</t>
  </si>
  <si>
    <t>R_x5edAvZKtQ2KBqh</t>
  </si>
  <si>
    <t>R_2b3guRVCSQc3YGk</t>
  </si>
  <si>
    <t>W143</t>
  </si>
  <si>
    <t>R_2s6C7VaBHXj1tpo</t>
  </si>
  <si>
    <t>W144</t>
  </si>
  <si>
    <t>R_21hd2A5IjY6Wkay</t>
  </si>
  <si>
    <t>R_29vpukltvfoMtqM</t>
  </si>
  <si>
    <t>W145</t>
  </si>
  <si>
    <t>R_3MGxo3Dfw9SzKLu</t>
  </si>
  <si>
    <t>R_33rvbSC5QpXu7YE</t>
  </si>
  <si>
    <t>W146</t>
  </si>
  <si>
    <t>R_10ZtXQVNX4CwMR9</t>
  </si>
  <si>
    <t>R_31KQ1vPLmEw1PTW</t>
  </si>
  <si>
    <t>W147</t>
  </si>
  <si>
    <t>R_1NDfCvnG9fqy1Wd</t>
  </si>
  <si>
    <t>W148</t>
  </si>
  <si>
    <t>R_2PAyHs8rljd8o0k</t>
  </si>
  <si>
    <t>R_12mNXaJQlR86nP4</t>
  </si>
  <si>
    <t>W151</t>
  </si>
  <si>
    <t>R_6n7cw1xZ74qX877</t>
  </si>
  <si>
    <t>R_300shcyxfc8GarB</t>
  </si>
  <si>
    <t>W152</t>
  </si>
  <si>
    <t>R_3JkobtalKdawETI</t>
  </si>
  <si>
    <t>R_24BLk3z7ZykqMWk</t>
  </si>
  <si>
    <t>W153</t>
  </si>
  <si>
    <t>R_3D5XVLLNyuwn4Hw</t>
  </si>
  <si>
    <t>R_vVaJ9rxfPz9pp1n</t>
  </si>
  <si>
    <t>W154</t>
  </si>
  <si>
    <t>R_Zlt3dOaoxYpTKtb</t>
  </si>
  <si>
    <t>R_2bJcl7Jac626tFF</t>
  </si>
  <si>
    <t>W155</t>
  </si>
  <si>
    <t>R_9ouLWsnBIaphtYt</t>
  </si>
  <si>
    <t>R_9WRGdRlaQRQvamZ</t>
  </si>
  <si>
    <t>W158</t>
  </si>
  <si>
    <t>R_1mgGhPXua61Ws5W</t>
  </si>
  <si>
    <t>R_42A6J7gpRfjW705</t>
  </si>
  <si>
    <t>W159</t>
  </si>
  <si>
    <t>R_1oAxRlaf3E1jNLU</t>
  </si>
  <si>
    <t>R_2frryDgaQRS1uOk</t>
  </si>
  <si>
    <t>W161</t>
  </si>
  <si>
    <t>R_26kV5Frp46XZIJx</t>
  </si>
  <si>
    <t>R_27JMiSGNwbMz3QU</t>
  </si>
  <si>
    <t>W163</t>
  </si>
  <si>
    <t>R_24dR8SuhrJhTujZ</t>
  </si>
  <si>
    <t>R_24IW3xDKeVmhaZS</t>
  </si>
  <si>
    <t>W164</t>
  </si>
  <si>
    <t>R_eQJiFOnvlZDFpzX</t>
  </si>
  <si>
    <t>W165</t>
  </si>
  <si>
    <t>R_SHPZatvDJDWEFuV</t>
  </si>
  <si>
    <t>R_1NqdQNz1SUQr7fl</t>
  </si>
  <si>
    <t>W166</t>
  </si>
  <si>
    <t>R_1g1m2v2kFd2SnRu</t>
  </si>
  <si>
    <t>R_2U0dT2EjN5OG6qx</t>
  </si>
  <si>
    <t>W167</t>
  </si>
  <si>
    <t>R_2PA9fYeum2QyGMj</t>
  </si>
  <si>
    <t>R_25TKpD0zEFAHZra</t>
  </si>
  <si>
    <t>W168</t>
  </si>
  <si>
    <t>R_3gSnLRO8aqRdjxU</t>
  </si>
  <si>
    <t>R_1ItPIyRaP5Dj05l</t>
  </si>
  <si>
    <t>W169</t>
  </si>
  <si>
    <t>R_2aWTIDuKslvpHhz</t>
  </si>
  <si>
    <t>R_1EiegqV3OiUL4Iu</t>
  </si>
  <si>
    <t>W170</t>
  </si>
  <si>
    <t>R_2ZIXUk5SumueUvV</t>
  </si>
  <si>
    <t>R_1DMCRUuisWFafue</t>
  </si>
  <si>
    <t>W171</t>
  </si>
  <si>
    <t>R_vJQIgFs4MizZ0hX</t>
  </si>
  <si>
    <t>R_3Ja8UhiBsc0RSpe</t>
  </si>
  <si>
    <t>W172</t>
  </si>
  <si>
    <t>R_32WIFjTy1dgKEE9</t>
  </si>
  <si>
    <t>R_1kFSGImkNAHZIUF</t>
  </si>
  <si>
    <t>W173</t>
  </si>
  <si>
    <t>R_3dGuT2torSND9B3</t>
  </si>
  <si>
    <t>R_1Ed233gi79ldn6c</t>
  </si>
  <si>
    <t>W175</t>
  </si>
  <si>
    <t>R_2EsdUeHbjGmiyAu</t>
  </si>
  <si>
    <t>R_8BN6osRFTXP2ipr</t>
  </si>
  <si>
    <t>W176</t>
  </si>
  <si>
    <t>R_3h3F32gLVtx865q</t>
  </si>
  <si>
    <t>R_27kGDLvT8o3EFdm</t>
  </si>
  <si>
    <t>W177</t>
  </si>
  <si>
    <t>R_rkJzZo5pFuO1mF3</t>
  </si>
  <si>
    <t>W178</t>
  </si>
  <si>
    <t>R_1Op7yDS6e30EIV3</t>
  </si>
  <si>
    <t>R_211GBs65unkjhj9</t>
  </si>
  <si>
    <t>W180</t>
  </si>
  <si>
    <t>R_Ugb1DaTydFf10Tn</t>
  </si>
  <si>
    <t>W184</t>
  </si>
  <si>
    <t>R_2rSnMN2m7NZ8bZW</t>
  </si>
  <si>
    <t>R_3ObjeU5WGLJ7LqN</t>
  </si>
  <si>
    <t>W185</t>
  </si>
  <si>
    <t>R_WjJRjrJ0HWaSlLX</t>
  </si>
  <si>
    <t>R_2sSGmQYaPJoM3At</t>
  </si>
  <si>
    <t>W187</t>
  </si>
  <si>
    <t>R_vrBYkI3Q8ZTZvRD</t>
  </si>
  <si>
    <t>R_2ZE0trd9OwfgNUB</t>
  </si>
  <si>
    <t>W188</t>
  </si>
  <si>
    <t>R_1mrfPIgYwZpNVDP</t>
  </si>
  <si>
    <t>R_2tEc0ijXcv5C7xz</t>
  </si>
  <si>
    <t>W189</t>
  </si>
  <si>
    <t>R_0CBfb3BSRLy8F69</t>
  </si>
  <si>
    <t>W190</t>
  </si>
  <si>
    <t>R_aXZFZAuDiN8QHRv</t>
  </si>
  <si>
    <t>R_TjQBEUMCoRR6yPf</t>
  </si>
  <si>
    <t>W192</t>
  </si>
  <si>
    <t>R_1jNHdBzGnQIP3Xy</t>
  </si>
  <si>
    <t>R_pyenJl43rs3aRwZ</t>
  </si>
  <si>
    <t>W194</t>
  </si>
  <si>
    <t>R_3lQtEN7Mffkceub</t>
  </si>
  <si>
    <t>W195</t>
  </si>
  <si>
    <t>R_24CSFTKroLH4Emj</t>
  </si>
  <si>
    <t>R_3njccoQoBzkUQtP</t>
  </si>
  <si>
    <t>W196</t>
  </si>
  <si>
    <t>R_OCnnB6mjMY1rMml</t>
  </si>
  <si>
    <t>R_2s07PYnu9A9y4pj</t>
  </si>
  <si>
    <t>W198</t>
  </si>
  <si>
    <t>R_3lFBTojaNWiYbFL</t>
  </si>
  <si>
    <t>R_1pspS33zIqTQQPy</t>
  </si>
  <si>
    <t>W199</t>
  </si>
  <si>
    <t>R_2tETWcAcnlHy6SO</t>
  </si>
  <si>
    <t>R_3Duuy573xTt8cde</t>
  </si>
  <si>
    <t>W200</t>
  </si>
  <si>
    <t>R_3lnp7jyTlRVOV1v</t>
  </si>
  <si>
    <t>R_3GxDmUX0bJP6QRq</t>
  </si>
  <si>
    <t>VR-12</t>
  </si>
  <si>
    <t>VR_1_Adj_base</t>
  </si>
  <si>
    <t>Adjustment</t>
  </si>
  <si>
    <t>Baseline</t>
  </si>
  <si>
    <t>(Reverse Score)If VR_1 = 1, set to 5; if VR_1 = 2, set to 4; if VR_1 = 3, set to 3; if VR_1 = 4, set to 2; if VR_1 = 5, set to 1</t>
  </si>
  <si>
    <t>VR_7_Adj_base</t>
  </si>
  <si>
    <t>(Reverse Score)If VR_7 = 1, set to 5; if VR_7 = 2, set to 4; if VR_7 = 3, set to 3; if VR_7 = 4, set to 2; if VR_7 = 5, set to 1</t>
  </si>
  <si>
    <t>VR_8_1_Adj_base</t>
  </si>
  <si>
    <t>(Reverse Score)If VR_8_1 = 1, set to 5; if VR_8_1 = 2, set to 4; if VR_8_1 = 3, set to 3; if VR_8_1 = 4, set to 2; if VR_8_1 = 5, set to 1</t>
  </si>
  <si>
    <t>VR_8_2_Adj_base</t>
  </si>
  <si>
    <t>(Reverse Score)If VR_8_2 = 1, set to 5; if VR_8_2 = 2, set to 4; if VR_8_2 = 3, set to 3; if VR_8_2 = 4, set to 2; if VR_8_2 = 5, set to 1</t>
  </si>
  <si>
    <t>VR_2_1_Adj_base</t>
  </si>
  <si>
    <t>(Reverse Score)If VR_2_1 = 1, set to 3; if VR_2_1 = 2, set to 2; if VR_2_1 = 3, set to 1</t>
  </si>
  <si>
    <t>VR_2_2_Adj_base</t>
  </si>
  <si>
    <t>(Reverse Score)If VR_2_2 = 1, set to 3; if VR_2_2 = 2, set to 2; if VR_2_2 = 3, set to 1</t>
  </si>
  <si>
    <t>VR_6_1_Adj_base</t>
  </si>
  <si>
    <t>(Reverse Score)If VR_6_1 - 1 = 1, set to 6; if VR_6_1 - 1= 2, set to 5; if VR_6_1 - 1 = 3, set to 4; if VR_6_1 - 1 = 4, set to 3; if VR_6_1 - 1 = 5, set to 2; if VR_6_1 - 1 = 6, set to 1</t>
  </si>
  <si>
    <t>VR_6_2_Adj_base</t>
  </si>
  <si>
    <t>(Reverse Score)If VR_6_2 - 1 = 1, set to 6; if VR_6_2 - 1= 2, set to 5; if VR_6_2 - 1 = 3, set to 4; if VR_6_2 - 1 = 4, set to 3; if VR_6_2 - 1 = 5, set to 2; if VR_6_2 - 1 = 6, set to 1</t>
  </si>
  <si>
    <t>VR_6_3_Adj_base</t>
  </si>
  <si>
    <t>(Reverse Score)If VR_6_3 - 1 = 1, set to 6; if VR_6_3 - 1= 2, set to 5; if VR_6_3 - 1 = 3, set to 4; if VR_6_3 - 1 = 4, set to 3; if VR_6_3 - 1 = 5, set to 2; if VR_6_3 - 1 = 6, set to 1</t>
  </si>
  <si>
    <t>VR_1X_base</t>
  </si>
  <si>
    <t>If VR_1=1 then VR_1X=100; If VR_1=2 then VR_1X=85; If VR_1=3 then VR_1X=60; If VR_1=4 then VR_1X=35; If VR_1=5 then VR_1X=0</t>
  </si>
  <si>
    <t>VR_2_1X_base</t>
  </si>
  <si>
    <t>VR_2_1X = (VR_2_1-1)*50</t>
  </si>
  <si>
    <t>VR_2_2X_base</t>
  </si>
  <si>
    <t>VR_2_2X = (VR_2_2-1)*50</t>
  </si>
  <si>
    <t>VR_3_1X_base</t>
  </si>
  <si>
    <t>VR_3_1X = (5-VR_3_1)*25</t>
  </si>
  <si>
    <t>VR_3_2X_base</t>
  </si>
  <si>
    <t>VR_3_2X = (5-VR_3_2)*25</t>
  </si>
  <si>
    <t>VR_4_1X_base</t>
  </si>
  <si>
    <t>VR_4_1X = (5-VR_4_1)*25</t>
  </si>
  <si>
    <t>VR_4_2X_base</t>
  </si>
  <si>
    <t>VR_4_2X = (5-VR_4_2)*25</t>
  </si>
  <si>
    <t>VR_5X_base</t>
  </si>
  <si>
    <t>VR_5X = (5-VR_5)*25</t>
  </si>
  <si>
    <t>VR_6_1X_base</t>
  </si>
  <si>
    <t>VR_6_1X = (6-VR_6_1)*20</t>
  </si>
  <si>
    <t>VR_6_2X_base</t>
  </si>
  <si>
    <t>VR_6_2X = (6-VR_6_2)*20</t>
  </si>
  <si>
    <t>VR_6_3X_base</t>
  </si>
  <si>
    <t>VR_6_3X = (VR_6_3-1)*20</t>
  </si>
  <si>
    <t>VR_7X_base</t>
  </si>
  <si>
    <t>VR_7X = (VR_7-1)*25</t>
  </si>
  <si>
    <t>VR_Physical_Composite_Score_base</t>
  </si>
  <si>
    <t>Score</t>
  </si>
  <si>
    <t>VR_Physical_Composite_Score  = 0.0782523751*VR_1X + 0.065064013*VR_2_1X + 0.0748361349*VR_2_2X + 0.0716978312*VR_3_1X + 0.0741541386*VR_3_2X + (-0.057598263)*VR_4_1X + (-0.032268941)*VR_4_2X +0.1339749098*VR_5X + (-0.042411864)*VR_6_1X + 0.0299689621*VR_6_2X + (-0.053362399)*VR_6_3X + 0.0046096779*VR_7X + 21.046859741</t>
  </si>
  <si>
    <t>VR_Mental_Composite_Score_base</t>
  </si>
  <si>
    <t>VR_Mental_Composite_Score = -0.000915925*VR_1X + -0.035498649*VR_2_1X + -0.03157714*VR_2_2X + -0.0251735*VR_3_1X + -0.024652228*VR_3_2X + 0.1266860962*VR_4_1X + 0.0808723569*VR_4_2X + -0.024371371*VR_5X + 0.1094084978*VR_6_1X + 0.0694271326*VR_6_2X + 0.1493788958*VR_6_3X + 0.1085734367*VR_7X + 12.66204834</t>
  </si>
  <si>
    <t>VR_questions_missed_base</t>
  </si>
  <si>
    <t>Number of Questions Missed from  VR_1, VR_2_1, VR_2_2, VR_3_1, VR_3_2, VR_4_1, VR_4_2, VR_5, VR_6_1, VR_6_2, VR_6_3, VR_7, VR_8_1, VR_8_2</t>
  </si>
  <si>
    <t>Question</t>
  </si>
  <si>
    <t>Followup</t>
  </si>
  <si>
    <t>In general, would you say your health is:</t>
  </si>
  <si>
    <t>1-5</t>
  </si>
  <si>
    <t xml:space="preserve">1 - Poor | 2 - Fair  | 3 - Good | 4 - Very Good | 5 - Excellent </t>
  </si>
  <si>
    <t>GH1</t>
  </si>
  <si>
    <t>The following questions are about activities you might do during a typical day.    Does your health now limit you in these activities? If so, how much? - Moderate activities, such as moving a table, pushing a vacuum cleaner, bowling, or playing golf</t>
  </si>
  <si>
    <t>1-3</t>
  </si>
  <si>
    <t>1 - No, not limited at all | 2 - Yes, limited a little | 3 - Yes, limited a lot</t>
  </si>
  <si>
    <t>PF02</t>
  </si>
  <si>
    <t>The following questions are about activities you might do during a typical day.    Does your health now limit you in these activities? If so, how much? - Climbing several flight of stairs</t>
  </si>
  <si>
    <t>PF04</t>
  </si>
  <si>
    <t>During the past 4 weeks, have you had the following problems with your work or other regular daily activities as a result of your physical health? - Accomplished less than you would like.</t>
  </si>
  <si>
    <t>1 - No, none of the time | 2 - Yes, a little of the time | 3 - Yes, some of the time | 4 - Yes, most of the time | 5 - Yes, all of the time</t>
  </si>
  <si>
    <t>VRP2</t>
  </si>
  <si>
    <t>During the past 4 weeks, have you had the following problems with your work or other regular daily activities as a result of your physical health? - Were limited in the kind of work or other activities.</t>
  </si>
  <si>
    <t>VRP3</t>
  </si>
  <si>
    <t>During the past 4 weeks, have you had the following problems with your work or other regular daily activities as a result of any emotional problems (such as feeling depressed or anxious)? - Accomplished less than you would like.</t>
  </si>
  <si>
    <t>VRE2</t>
  </si>
  <si>
    <t>During the past 4 weeks, have you had the following problems with your work or other regular daily activities as a result of any emotional problems (such as feeling depressed or anxious)? - Didn't do work or other activities as carefully as usual.</t>
  </si>
  <si>
    <t>VRE3</t>
  </si>
  <si>
    <t>During the past 4 weeks, how much did pain interfere with your normal work (including work outside the home and house work)?</t>
  </si>
  <si>
    <t xml:space="preserve">1 - Not at all | 2 - A little bit  | 3 - Moderately | 4 - Quite a bit | 5 - Extremely </t>
  </si>
  <si>
    <t>BP2</t>
  </si>
  <si>
    <t>For each question below, please give the one answer that comes closest to the way you have been feeling. How much during the past 4 weeks: - Have you felt calm and peaceful?</t>
  </si>
  <si>
    <t>2-7</t>
  </si>
  <si>
    <t>2 - None of the time | 3 - A little of the time | 4 - Some of the time | 5 -	A good bit of the time | 6 - Most of the time | 7 - All of the time</t>
  </si>
  <si>
    <t>MH3</t>
  </si>
  <si>
    <t>For each question below, please give the one answer that comes closest to the way you have been feeling. How much during the past 4 weeks: - Did you have a lot of energy?</t>
  </si>
  <si>
    <t>VT2</t>
  </si>
  <si>
    <t>For each question below, please give the one answer that comes closest to the way you have been feeling. How much during the past 4 weeks: - Have you felt downhearted and blue?</t>
  </si>
  <si>
    <t>MH4</t>
  </si>
  <si>
    <t>During the past 4 weeks, how much of the time has your physical health or emotional problems interfered with your social activities (like visiting with friends, relatives, etc.)?</t>
  </si>
  <si>
    <t>1 - None of the time | 2 - A little of the time | 3 - Some of the time | 4 - Most of the time | 5 - All of the time</t>
  </si>
  <si>
    <t>SF2</t>
  </si>
  <si>
    <t>Now, we'd like to ask you some questions about how your health may have changed. Compared to one year ago, in general, how would you rate your: - Physical health</t>
  </si>
  <si>
    <t>1 - Much worse | 2 - Slightly worse | 3- 	About the same | 4 - Slightly better | 5 - Much better</t>
  </si>
  <si>
    <t>Now, we'd like to ask you some questions about how your health may have changed. Compared to one year ago, in general, how would you rate your: - Emotional problems (such as feeling anxious, depressed or irritable)</t>
  </si>
  <si>
    <t>1-6</t>
  </si>
  <si>
    <t>0, 35, 60, 85 or 100</t>
  </si>
  <si>
    <t>50, 100 or 150</t>
  </si>
  <si>
    <t>0, 25, 50, 75, 100</t>
  </si>
  <si>
    <t>0, 20, 40, 60, 80, 100</t>
  </si>
  <si>
    <t>Continuous</t>
  </si>
  <si>
    <t>Set to NA if VR_questions_missed &gt; 7</t>
  </si>
  <si>
    <t>0-14</t>
  </si>
  <si>
    <t>RECODE</t>
  </si>
  <si>
    <t>VR_1_base_adjusted</t>
  </si>
  <si>
    <t>PCSbase</t>
  </si>
  <si>
    <t>MCSbase</t>
  </si>
  <si>
    <t>PCSfollow</t>
  </si>
  <si>
    <t>MCSfollow</t>
  </si>
  <si>
    <t xml:space="preserve"> </t>
  </si>
  <si>
    <t>count if =1</t>
  </si>
  <si>
    <t>count if =7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</si>
</sst>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22" borderId="0" applyNumberFormat="0" applyBorder="0" applyAlignment="0" applyProtection="0"/>
  </cellStyleXfs>
  <cellXfs count="17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0" borderId="0" xfId="0" applyAlignment="1">
      <alignment horizontal="center"/>
    </xf>
    <xf numFmtId="0" fontId="19" fillId="0" borderId="0" xfId="42" applyAlignment="1">
      <alignment horizontal="center"/>
    </xf>
    <xf numFmtId="0" fontId="19" fillId="0" borderId="0" xfId="42"/>
    <xf numFmtId="49" fontId="19" fillId="0" borderId="0" xfId="42" applyNumberFormat="1"/>
    <xf numFmtId="0" fontId="19" fillId="34" borderId="0" xfId="42" applyFill="1"/>
    <xf numFmtId="0" fontId="19" fillId="35" borderId="0" xfId="42" applyFill="1"/>
    <xf numFmtId="49" fontId="19" fillId="0" borderId="0" xfId="42" applyNumberFormat="1" applyAlignment="1">
      <alignment horizontal="center"/>
    </xf>
    <xf numFmtId="49" fontId="0" fillId="0" borderId="0" xfId="0" applyNumberFormat="1"/>
    <xf numFmtId="0" fontId="0" fillId="33" borderId="0" xfId="0" applyFill="1" applyAlignment="1">
      <alignment horizontal="center"/>
    </xf>
    <xf numFmtId="0" fontId="17" fillId="36" borderId="0" xfId="0" applyFont="1" applyFill="1"/>
    <xf numFmtId="0" fontId="0" fillId="36" borderId="0" xfId="0" applyFill="1"/>
    <xf numFmtId="0" fontId="0" fillId="37" borderId="0" xfId="0" applyFill="1"/>
    <xf numFmtId="0" fontId="20" fillId="0" borderId="0" xfId="0" applyFont="1"/>
    <xf numFmtId="0" fontId="0" fillId="38" borderId="0" xfId="0" applyFill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4 2" xfId="44" xr:uid="{6D599C96-E4B5-4C71-90DB-3E70B1796AA7}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D1F05E0-BCC1-4A73-A944-67D9CE830283}"/>
    <cellStyle name="Note" xfId="15" builtinId="10" customBuiltin="1"/>
    <cellStyle name="Output" xfId="10" builtinId="21" customBuiltin="1"/>
    <cellStyle name="Percent 2" xfId="43" xr:uid="{30418D4C-C766-40A6-AE96-B1E5C0E33087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EB55-2BF6-0A4D-90B7-D3F5B1378B9F}">
  <dimension ref="A1:BB169"/>
  <sheetViews>
    <sheetView zoomScale="80" zoomScaleNormal="80" workbookViewId="0">
      <selection activeCell="BH1" sqref="BH1:BL1048576"/>
    </sheetView>
  </sheetViews>
  <sheetFormatPr defaultColWidth="11" defaultRowHeight="15.75" x14ac:dyDescent="0.25"/>
  <cols>
    <col min="2" max="2" width="15.125" customWidth="1"/>
    <col min="3" max="3" width="20.875" customWidth="1"/>
    <col min="6" max="6" width="19.375" customWidth="1"/>
    <col min="15" max="17" width="11" style="2"/>
    <col min="32" max="34" width="11" style="2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s="2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2" t="s">
        <v>31</v>
      </c>
      <c r="AG1" s="2" t="s">
        <v>32</v>
      </c>
      <c r="AH1" s="2" t="s">
        <v>33</v>
      </c>
      <c r="AI1" t="s">
        <v>34</v>
      </c>
      <c r="AJ1" t="s">
        <v>35</v>
      </c>
      <c r="AK1" t="s">
        <v>36</v>
      </c>
      <c r="AM1" s="16" t="s">
        <v>23</v>
      </c>
      <c r="AN1" s="16" t="s">
        <v>24</v>
      </c>
      <c r="AO1" s="16" t="s">
        <v>25</v>
      </c>
      <c r="AP1" s="16" t="s">
        <v>26</v>
      </c>
      <c r="AQ1" s="16" t="s">
        <v>27</v>
      </c>
      <c r="AR1" s="16" t="s">
        <v>28</v>
      </c>
      <c r="AS1" s="16" t="s">
        <v>29</v>
      </c>
      <c r="AT1" s="16" t="s">
        <v>30</v>
      </c>
      <c r="AU1" s="16" t="s">
        <v>31</v>
      </c>
      <c r="AV1" s="16" t="s">
        <v>32</v>
      </c>
      <c r="AW1" s="16" t="s">
        <v>33</v>
      </c>
      <c r="AX1" s="16" t="s">
        <v>34</v>
      </c>
      <c r="AY1" s="16" t="s">
        <v>35</v>
      </c>
      <c r="AZ1" s="16" t="s">
        <v>36</v>
      </c>
      <c r="BA1" t="s">
        <v>37</v>
      </c>
      <c r="BB1" t="s">
        <v>38</v>
      </c>
    </row>
    <row r="2" spans="1:54" x14ac:dyDescent="0.25">
      <c r="A2">
        <v>1</v>
      </c>
      <c r="B2" t="s">
        <v>39</v>
      </c>
      <c r="C2" t="s">
        <v>40</v>
      </c>
      <c r="D2" s="1" t="d">
        <v>2017-08-20T11:29:48.99999973364174175</v>
      </c>
      <c r="E2" s="1" t="d">
        <v>2017-08-20T12:00:17.000000202096998550</v>
      </c>
      <c r="F2" t="s">
        <v>41</v>
      </c>
      <c r="G2">
        <v>3</v>
      </c>
      <c r="H2">
        <v>2</v>
      </c>
      <c r="I2">
        <v>3</v>
      </c>
      <c r="J2">
        <v>4</v>
      </c>
      <c r="K2">
        <v>4</v>
      </c>
      <c r="L2">
        <v>4</v>
      </c>
      <c r="M2">
        <v>3</v>
      </c>
      <c r="N2">
        <v>3</v>
      </c>
      <c r="O2" s="2">
        <v>3</v>
      </c>
      <c r="P2" s="2">
        <v>3</v>
      </c>
      <c r="Q2" s="2">
        <v>4</v>
      </c>
      <c r="R2">
        <v>3</v>
      </c>
      <c r="S2">
        <v>3</v>
      </c>
      <c r="T2">
        <v>3</v>
      </c>
      <c r="AY2">
        <v>40.052623337999997</v>
      </c>
      <c r="AZ2">
        <v>37.542548297000003</v>
      </c>
    </row>
    <row r="3" spans="1:54" x14ac:dyDescent="0.25">
      <c r="A3">
        <v>2</v>
      </c>
      <c r="B3" t="s">
        <v>42</v>
      </c>
      <c r="C3" t="s">
        <v>40</v>
      </c>
      <c r="D3" s="1" t="d">
        <v>2017-08-10T12:36:40.00000004656613100</v>
      </c>
      <c r="E3" s="1" t="d">
        <v>2017-08-10T13:20:58.99999989196658175</v>
      </c>
      <c r="F3" t="s">
        <v>43</v>
      </c>
      <c r="G3">
        <v>3</v>
      </c>
      <c r="H3">
        <v>1</v>
      </c>
      <c r="I3">
        <v>1</v>
      </c>
      <c r="J3">
        <v>4</v>
      </c>
      <c r="K3">
        <v>4</v>
      </c>
      <c r="L3">
        <v>4</v>
      </c>
      <c r="M3">
        <v>3</v>
      </c>
      <c r="N3">
        <v>2</v>
      </c>
      <c r="O3" s="2">
        <v>2</v>
      </c>
      <c r="P3" s="2">
        <v>2</v>
      </c>
      <c r="Q3" s="2">
        <v>2</v>
      </c>
      <c r="R3">
        <v>4</v>
      </c>
      <c r="S3">
        <v>5</v>
      </c>
      <c r="T3">
        <v>3</v>
      </c>
      <c r="U3" s="1" t="d">
        <v>2017-12-09T09:57:55.99999972153454850</v>
      </c>
      <c r="V3" s="1" t="d">
        <v>2017-12-09T10:50:41.99999989941716325</v>
      </c>
      <c r="W3" t="s">
        <v>44</v>
      </c>
      <c r="X3">
        <v>3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2</v>
      </c>
      <c r="AF3" s="2">
        <v>2</v>
      </c>
      <c r="AG3" s="2">
        <v>2</v>
      </c>
      <c r="AH3" s="2">
        <v>2</v>
      </c>
      <c r="AI3">
        <v>3</v>
      </c>
      <c r="AJ3">
        <v>4</v>
      </c>
      <c r="AK3">
        <v>3</v>
      </c>
      <c r="AM3" t="str">
        <f>IF(X3=1,"100",IF(X3=2,"85",IF(X3=3,"60",IF(X3=4,"35","0"))))</f>
        <v>60</v>
      </c>
      <c r="AY3">
        <v>34.666061812499997</v>
      </c>
      <c r="AZ3">
        <v>42.1818031655</v>
      </c>
      <c r="BA3">
        <v>39.556400824999997</v>
      </c>
      <c r="BB3">
        <v>49.275612707999997</v>
      </c>
    </row>
    <row r="4" spans="1:54" x14ac:dyDescent="0.25">
      <c r="A4">
        <v>3</v>
      </c>
      <c r="B4" t="s">
        <v>45</v>
      </c>
      <c r="C4" t="s">
        <v>40</v>
      </c>
      <c r="D4" s="1" t="d">
        <v>2017-08-24T01:11:03.99999973364174175</v>
      </c>
      <c r="E4" s="1" t="d">
        <v>2017-08-24T02:05:44.99999976251274675</v>
      </c>
      <c r="F4" t="s">
        <v>46</v>
      </c>
      <c r="G4">
        <v>2</v>
      </c>
      <c r="H4">
        <v>2</v>
      </c>
      <c r="I4">
        <v>3</v>
      </c>
      <c r="J4">
        <v>5</v>
      </c>
      <c r="K4">
        <v>5</v>
      </c>
      <c r="L4">
        <v>5</v>
      </c>
      <c r="M4">
        <v>5</v>
      </c>
      <c r="N4">
        <v>4</v>
      </c>
      <c r="O4" s="2">
        <v>1</v>
      </c>
      <c r="P4" s="2">
        <v>1</v>
      </c>
      <c r="Q4" s="2">
        <v>6</v>
      </c>
      <c r="R4">
        <v>4</v>
      </c>
      <c r="S4">
        <v>2</v>
      </c>
      <c r="T4">
        <v>4</v>
      </c>
      <c r="U4" s="1" t="d">
        <v>2017-12-09T00:01:35.99999981001019200</v>
      </c>
      <c r="V4" s="1" t="d">
        <v>2017-12-09T01:13:31.0000001499429375</v>
      </c>
      <c r="W4" t="s">
        <v>47</v>
      </c>
      <c r="X4">
        <v>2</v>
      </c>
      <c r="Y4">
        <v>3</v>
      </c>
      <c r="Z4">
        <v>2</v>
      </c>
      <c r="AA4">
        <v>4</v>
      </c>
      <c r="AB4">
        <v>4</v>
      </c>
      <c r="AC4">
        <v>4</v>
      </c>
      <c r="AD4">
        <v>4</v>
      </c>
      <c r="AE4">
        <v>4</v>
      </c>
      <c r="AF4" s="2">
        <v>3</v>
      </c>
      <c r="AG4" s="2">
        <v>3</v>
      </c>
      <c r="AH4" s="2">
        <v>2</v>
      </c>
      <c r="AI4">
        <v>3</v>
      </c>
      <c r="AJ4">
        <v>1</v>
      </c>
      <c r="AK4">
        <v>4</v>
      </c>
      <c r="AY4">
        <v>35.549694262000003</v>
      </c>
      <c r="AZ4">
        <v>48.006724362500002</v>
      </c>
      <c r="BA4">
        <v>41.112173360500002</v>
      </c>
      <c r="BB4">
        <v>29.935894242500002</v>
      </c>
    </row>
    <row r="5" spans="1:54" x14ac:dyDescent="0.25">
      <c r="A5">
        <v>4</v>
      </c>
      <c r="B5" t="s">
        <v>48</v>
      </c>
      <c r="C5" t="s">
        <v>40</v>
      </c>
      <c r="D5" s="1" t="d">
        <v>2017-08-11T09:11:03.99999994318932450</v>
      </c>
      <c r="E5" s="1" t="d">
        <v>2017-08-11T10:02:40.00000010244548550</v>
      </c>
      <c r="F5" t="s">
        <v>49</v>
      </c>
      <c r="G5">
        <v>2</v>
      </c>
      <c r="H5">
        <v>1</v>
      </c>
      <c r="I5">
        <v>2</v>
      </c>
      <c r="J5">
        <v>4</v>
      </c>
      <c r="K5">
        <v>5</v>
      </c>
      <c r="L5">
        <v>2</v>
      </c>
      <c r="M5">
        <v>2</v>
      </c>
      <c r="N5">
        <v>2</v>
      </c>
      <c r="O5" s="2">
        <v>1</v>
      </c>
      <c r="P5" s="2">
        <v>2</v>
      </c>
      <c r="Q5" s="2">
        <v>5</v>
      </c>
      <c r="R5">
        <v>3</v>
      </c>
      <c r="S5">
        <v>3</v>
      </c>
      <c r="T5">
        <v>3</v>
      </c>
      <c r="U5" s="1" t="d">
        <v>2017-12-18T13:25:02.00000011827796950</v>
      </c>
      <c r="V5" s="1" t="d">
        <v>2017-12-18T14:12:03.99999971967190650</v>
      </c>
      <c r="W5" t="s">
        <v>50</v>
      </c>
      <c r="X5">
        <v>3</v>
      </c>
      <c r="Y5">
        <v>2</v>
      </c>
      <c r="Z5">
        <v>1</v>
      </c>
      <c r="AA5">
        <v>2</v>
      </c>
      <c r="AB5">
        <v>2</v>
      </c>
      <c r="AC5">
        <v>2</v>
      </c>
      <c r="AD5">
        <v>2</v>
      </c>
      <c r="AE5">
        <v>2</v>
      </c>
      <c r="AF5" s="2">
        <v>3</v>
      </c>
      <c r="AG5" s="2">
        <v>3</v>
      </c>
      <c r="AH5" s="2">
        <v>3</v>
      </c>
      <c r="AI5">
        <v>2</v>
      </c>
      <c r="AJ5">
        <v>3</v>
      </c>
      <c r="AK5">
        <v>4</v>
      </c>
      <c r="AY5">
        <v>30.658464627499999</v>
      </c>
      <c r="AZ5">
        <v>57.9890352595</v>
      </c>
      <c r="BA5">
        <v>40.476350440499999</v>
      </c>
      <c r="BB5">
        <v>40.253891521</v>
      </c>
    </row>
    <row r="6" spans="1:54" x14ac:dyDescent="0.25">
      <c r="A6">
        <v>5</v>
      </c>
      <c r="B6" t="s">
        <v>51</v>
      </c>
      <c r="C6" t="s">
        <v>40</v>
      </c>
      <c r="D6" s="1" t="d">
        <v>2017-08-10T14:55:43.00000027287751200</v>
      </c>
      <c r="E6" s="1" t="d">
        <v>2017-08-10T16:07:06.00000004749745200</v>
      </c>
      <c r="F6" t="s">
        <v>52</v>
      </c>
      <c r="G6">
        <v>3</v>
      </c>
      <c r="H6">
        <v>2</v>
      </c>
      <c r="I6">
        <v>2</v>
      </c>
      <c r="J6">
        <v>3</v>
      </c>
      <c r="K6">
        <v>3</v>
      </c>
      <c r="L6">
        <v>4</v>
      </c>
      <c r="M6">
        <v>4</v>
      </c>
      <c r="N6">
        <v>3</v>
      </c>
      <c r="O6" s="2">
        <v>3</v>
      </c>
      <c r="P6" s="2">
        <v>1</v>
      </c>
      <c r="Q6" s="2">
        <v>4</v>
      </c>
      <c r="R6">
        <v>3</v>
      </c>
      <c r="S6">
        <v>4</v>
      </c>
      <c r="T6">
        <v>4</v>
      </c>
      <c r="U6" s="1" t="d">
        <v>2017-12-11T17:40:12.00000015087425850</v>
      </c>
      <c r="V6" s="1" t="d">
        <v>2017-12-11T18:09:18.00000031013041950</v>
      </c>
      <c r="W6" t="s">
        <v>53</v>
      </c>
      <c r="X6">
        <v>3</v>
      </c>
      <c r="Y6">
        <v>2</v>
      </c>
      <c r="Z6">
        <v>3</v>
      </c>
      <c r="AA6">
        <v>4</v>
      </c>
      <c r="AB6">
        <v>3</v>
      </c>
      <c r="AC6">
        <v>4</v>
      </c>
      <c r="AD6">
        <v>1</v>
      </c>
      <c r="AE6">
        <v>3</v>
      </c>
      <c r="AF6" s="2">
        <v>3</v>
      </c>
      <c r="AG6" s="2">
        <v>1</v>
      </c>
      <c r="AH6" s="2">
        <v>5</v>
      </c>
      <c r="AI6">
        <v>3</v>
      </c>
      <c r="AJ6">
        <v>3</v>
      </c>
      <c r="AK6">
        <v>4</v>
      </c>
      <c r="AY6">
        <v>41.962597846999998</v>
      </c>
      <c r="AZ6">
        <v>38.631038478500002</v>
      </c>
      <c r="BA6">
        <v>40.424540256999997</v>
      </c>
      <c r="BB6">
        <v>46.734523662000001</v>
      </c>
    </row>
    <row r="7" spans="1:54" x14ac:dyDescent="0.25">
      <c r="A7">
        <v>6</v>
      </c>
      <c r="B7" t="s">
        <v>54</v>
      </c>
      <c r="C7" t="s">
        <v>40</v>
      </c>
      <c r="D7" s="1" t="d">
        <v>2017-08-11T07:22:11.9999999832361950</v>
      </c>
      <c r="E7" s="1" t="d">
        <v>2017-08-11T07:58:31.99999975506216525</v>
      </c>
      <c r="F7" t="s">
        <v>55</v>
      </c>
      <c r="G7">
        <v>2</v>
      </c>
      <c r="H7">
        <v>1</v>
      </c>
      <c r="I7">
        <v>1</v>
      </c>
      <c r="J7">
        <v>1</v>
      </c>
      <c r="K7">
        <v>1</v>
      </c>
      <c r="L7">
        <v>3</v>
      </c>
      <c r="M7">
        <v>3</v>
      </c>
      <c r="N7">
        <v>2</v>
      </c>
      <c r="O7" s="2">
        <v>3</v>
      </c>
      <c r="P7" s="2">
        <v>3</v>
      </c>
      <c r="Q7" s="2">
        <v>4</v>
      </c>
      <c r="R7">
        <v>4</v>
      </c>
      <c r="S7">
        <v>4</v>
      </c>
      <c r="T7">
        <v>3</v>
      </c>
      <c r="U7" s="1" t="d">
        <v>2017-12-17T08:10:26.0000000707805175</v>
      </c>
      <c r="V7" s="1" t="d">
        <v>2018-01-15T10:43:52.00000023934990200</v>
      </c>
      <c r="W7" t="s">
        <v>56</v>
      </c>
      <c r="X7">
        <v>3</v>
      </c>
      <c r="Y7">
        <v>1</v>
      </c>
      <c r="Z7">
        <v>1</v>
      </c>
      <c r="AA7">
        <v>2</v>
      </c>
      <c r="AB7">
        <v>1</v>
      </c>
      <c r="AC7">
        <v>2</v>
      </c>
      <c r="AD7">
        <v>2</v>
      </c>
      <c r="AE7">
        <v>3</v>
      </c>
      <c r="AF7" s="2">
        <v>3</v>
      </c>
      <c r="AG7" s="2">
        <v>4</v>
      </c>
      <c r="AH7" s="2">
        <v>3</v>
      </c>
      <c r="AI7">
        <v>3</v>
      </c>
      <c r="AJ7">
        <v>3</v>
      </c>
      <c r="AK7">
        <v>4</v>
      </c>
      <c r="AY7">
        <v>44.235674428000003</v>
      </c>
      <c r="AZ7">
        <v>43.9875710695</v>
      </c>
      <c r="BA7">
        <v>35.243493215999997</v>
      </c>
      <c r="BB7">
        <v>43.3475958115</v>
      </c>
    </row>
    <row r="8" spans="1:54" x14ac:dyDescent="0.25">
      <c r="A8">
        <v>7</v>
      </c>
      <c r="B8" t="s">
        <v>57</v>
      </c>
      <c r="C8" t="s">
        <v>40</v>
      </c>
      <c r="D8" s="1" t="d">
        <v>2017-08-17T16:38:48.99999981746077350</v>
      </c>
      <c r="E8" s="1" t="d">
        <v>2017-08-17T18:22:57.000000025145709525</v>
      </c>
      <c r="F8" t="s">
        <v>58</v>
      </c>
      <c r="G8">
        <v>2</v>
      </c>
      <c r="H8">
        <v>3</v>
      </c>
      <c r="I8">
        <v>3</v>
      </c>
      <c r="J8">
        <v>5</v>
      </c>
      <c r="K8">
        <v>5</v>
      </c>
      <c r="L8">
        <v>2</v>
      </c>
      <c r="M8">
        <v>2</v>
      </c>
      <c r="N8">
        <v>4</v>
      </c>
      <c r="O8" s="2">
        <v>2</v>
      </c>
      <c r="P8" s="2">
        <v>3</v>
      </c>
      <c r="Q8" s="2">
        <v>3</v>
      </c>
      <c r="R8">
        <v>5</v>
      </c>
      <c r="S8">
        <v>2</v>
      </c>
      <c r="T8">
        <v>4</v>
      </c>
      <c r="U8" s="1" t="d">
        <v>2017-12-21T16:29:12.00000009499490400</v>
      </c>
      <c r="V8" s="1" t="d">
        <v>2017-12-21T17:32:03.0000002542510650</v>
      </c>
      <c r="W8" t="s">
        <v>59</v>
      </c>
      <c r="X8">
        <v>1</v>
      </c>
      <c r="Y8">
        <v>3</v>
      </c>
      <c r="Z8">
        <v>3</v>
      </c>
      <c r="AA8">
        <v>4</v>
      </c>
      <c r="AB8">
        <v>5</v>
      </c>
      <c r="AC8">
        <v>3</v>
      </c>
      <c r="AD8">
        <v>3</v>
      </c>
      <c r="AE8">
        <v>5</v>
      </c>
      <c r="AF8" s="2">
        <v>3</v>
      </c>
      <c r="AG8" s="2">
        <v>2</v>
      </c>
      <c r="AH8" s="2">
        <v>2</v>
      </c>
      <c r="AI8">
        <v>4</v>
      </c>
      <c r="AJ8">
        <v>2</v>
      </c>
      <c r="AK8">
        <v>4</v>
      </c>
      <c r="AY8">
        <v>35.029319295500002</v>
      </c>
      <c r="AZ8">
        <v>50.585022804499999</v>
      </c>
      <c r="BA8">
        <v>39.292480611499997</v>
      </c>
      <c r="BB8">
        <v>38.860728239499998</v>
      </c>
    </row>
    <row r="9" spans="1:54" x14ac:dyDescent="0.25">
      <c r="A9">
        <v>8</v>
      </c>
      <c r="B9" t="s">
        <v>60</v>
      </c>
      <c r="C9" t="s">
        <v>40</v>
      </c>
      <c r="D9" s="1" t="d">
        <v>2017-08-12T10:59:58.99999997578561350</v>
      </c>
      <c r="E9" s="1" t="d">
        <v>2017-08-12T11:56:36.00000008940696450</v>
      </c>
      <c r="F9" t="s">
        <v>61</v>
      </c>
      <c r="G9">
        <v>3</v>
      </c>
      <c r="H9">
        <v>2</v>
      </c>
      <c r="I9">
        <v>2</v>
      </c>
      <c r="J9">
        <v>3</v>
      </c>
      <c r="K9">
        <v>4</v>
      </c>
      <c r="L9">
        <v>3</v>
      </c>
      <c r="M9">
        <v>3</v>
      </c>
      <c r="N9">
        <v>3</v>
      </c>
      <c r="O9" s="2">
        <v>3</v>
      </c>
      <c r="P9" s="2">
        <v>3</v>
      </c>
      <c r="Q9" s="2">
        <v>3</v>
      </c>
      <c r="R9">
        <v>4</v>
      </c>
      <c r="S9">
        <v>2</v>
      </c>
      <c r="T9">
        <v>3</v>
      </c>
      <c r="U9" s="1" t="d">
        <v>2017-12-16T18:08:24.99999986495822550</v>
      </c>
      <c r="V9" s="1" t="d">
        <v>2017-12-16T18:51:15.99999988451600025</v>
      </c>
      <c r="W9" t="s">
        <v>62</v>
      </c>
      <c r="X9">
        <v>3</v>
      </c>
      <c r="Y9">
        <v>2</v>
      </c>
      <c r="Z9">
        <v>2</v>
      </c>
      <c r="AA9">
        <v>3</v>
      </c>
      <c r="AB9">
        <v>3</v>
      </c>
      <c r="AC9">
        <v>2</v>
      </c>
      <c r="AD9">
        <v>2</v>
      </c>
      <c r="AE9">
        <v>3</v>
      </c>
      <c r="AF9" s="2">
        <v>4</v>
      </c>
      <c r="AG9" s="2">
        <v>4</v>
      </c>
      <c r="AH9" s="2">
        <v>3</v>
      </c>
      <c r="AI9">
        <v>3</v>
      </c>
      <c r="AJ9">
        <v>2</v>
      </c>
      <c r="AK9">
        <v>3</v>
      </c>
      <c r="AY9">
        <v>37.845795725499997</v>
      </c>
      <c r="AZ9">
        <v>41.385978203500002</v>
      </c>
      <c r="BA9">
        <v>37.586585180999997</v>
      </c>
      <c r="BB9">
        <v>39.667585305499998</v>
      </c>
    </row>
    <row r="10" spans="1:54" x14ac:dyDescent="0.25">
      <c r="A10">
        <v>9</v>
      </c>
      <c r="B10" t="s">
        <v>63</v>
      </c>
      <c r="C10" t="s">
        <v>40</v>
      </c>
      <c r="D10" s="1" t="d">
        <v>2017-09-13T22:13:36.00000006146728725</v>
      </c>
      <c r="E10" s="1" t="d">
        <v>2017-09-13T23:32:05.99999969825148300</v>
      </c>
      <c r="F10" t="s">
        <v>64</v>
      </c>
      <c r="G10">
        <v>3</v>
      </c>
      <c r="H10">
        <v>2</v>
      </c>
      <c r="I10">
        <v>1</v>
      </c>
      <c r="J10">
        <v>3</v>
      </c>
      <c r="K10">
        <v>3</v>
      </c>
      <c r="L10">
        <v>2</v>
      </c>
      <c r="M10">
        <v>2</v>
      </c>
      <c r="N10">
        <v>3</v>
      </c>
      <c r="O10" s="2">
        <v>4</v>
      </c>
      <c r="P10" s="2">
        <v>1</v>
      </c>
      <c r="Q10" s="2">
        <v>2</v>
      </c>
      <c r="R10">
        <v>2</v>
      </c>
      <c r="S10">
        <v>1</v>
      </c>
      <c r="T10">
        <v>1</v>
      </c>
      <c r="U10" s="1" t="d">
        <v>2018-02-06T12:00:44.99999983236193650</v>
      </c>
      <c r="V10" s="1" t="d">
        <v>2018-02-06T13:09:13.99999979417770800</v>
      </c>
      <c r="W10" t="s">
        <v>65</v>
      </c>
      <c r="X10">
        <v>3</v>
      </c>
      <c r="Y10">
        <v>1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3</v>
      </c>
      <c r="AF10" s="2">
        <v>3</v>
      </c>
      <c r="AG10" s="2">
        <v>3</v>
      </c>
      <c r="AH10" s="2">
        <v>3</v>
      </c>
      <c r="AI10">
        <v>2</v>
      </c>
      <c r="AJ10">
        <v>2</v>
      </c>
      <c r="AK10">
        <v>2</v>
      </c>
      <c r="AY10">
        <v>36.594922194500001</v>
      </c>
      <c r="AZ10">
        <v>39.710156427999998</v>
      </c>
      <c r="BA10">
        <v>37.615583790499997</v>
      </c>
      <c r="BB10">
        <v>41.059251246000002</v>
      </c>
    </row>
    <row r="11" spans="1:54" x14ac:dyDescent="0.25">
      <c r="A11">
        <v>10</v>
      </c>
      <c r="B11" t="s">
        <v>66</v>
      </c>
      <c r="C11" t="s">
        <v>40</v>
      </c>
      <c r="D11" s="1" t="d">
        <v>2017-08-30T08:43:15.99999978672713325</v>
      </c>
      <c r="E11" s="1" t="d">
        <v>2017-08-30T09:06:57.00000003911554950</v>
      </c>
      <c r="F11" t="s">
        <v>67</v>
      </c>
      <c r="G11">
        <v>4</v>
      </c>
      <c r="H11">
        <v>1</v>
      </c>
      <c r="I11">
        <v>1</v>
      </c>
      <c r="J11">
        <v>2</v>
      </c>
      <c r="K11">
        <v>2</v>
      </c>
      <c r="L11">
        <v>3</v>
      </c>
      <c r="M11">
        <v>2</v>
      </c>
      <c r="N11">
        <v>2</v>
      </c>
      <c r="O11" s="2">
        <v>3</v>
      </c>
      <c r="P11" s="2">
        <v>3</v>
      </c>
      <c r="Q11" s="2">
        <v>5</v>
      </c>
      <c r="R11">
        <v>5</v>
      </c>
      <c r="S11">
        <v>1</v>
      </c>
      <c r="T11">
        <v>1</v>
      </c>
      <c r="U11" s="1" t="d">
        <v>2018-01-18T09:41:25.00000003259628900</v>
      </c>
      <c r="V11" s="1" t="d">
        <v>2018-01-18T10:54:10.00000011641532075</v>
      </c>
      <c r="W11" t="s">
        <v>68</v>
      </c>
      <c r="X11">
        <v>3</v>
      </c>
      <c r="Y11">
        <v>2</v>
      </c>
      <c r="Z11">
        <v>2</v>
      </c>
      <c r="AA11">
        <v>5</v>
      </c>
      <c r="AB11">
        <v>5</v>
      </c>
      <c r="AC11">
        <v>5</v>
      </c>
      <c r="AD11">
        <v>4</v>
      </c>
      <c r="AE11">
        <v>4</v>
      </c>
      <c r="AF11" s="2">
        <v>1</v>
      </c>
      <c r="AG11" s="2">
        <v>1</v>
      </c>
      <c r="AH11" s="2">
        <v>6</v>
      </c>
      <c r="AI11">
        <v>5</v>
      </c>
      <c r="AJ11">
        <v>2</v>
      </c>
      <c r="AK11">
        <v>1</v>
      </c>
      <c r="AY11">
        <v>34.9180268705</v>
      </c>
      <c r="AZ11">
        <v>53.002733275499999</v>
      </c>
      <c r="BA11">
        <v>29.160096562</v>
      </c>
      <c r="BB11">
        <v>54.3446243275</v>
      </c>
    </row>
    <row r="12" spans="1:54" x14ac:dyDescent="0.25">
      <c r="A12">
        <v>11</v>
      </c>
      <c r="B12" t="s">
        <v>69</v>
      </c>
      <c r="C12" t="s">
        <v>40</v>
      </c>
      <c r="D12" s="1" t="d">
        <v>2017-08-20T21:14:22.99999994225800350</v>
      </c>
      <c r="E12" s="1" t="d">
        <v>2017-08-20T21:49:14.00000028312206325</v>
      </c>
      <c r="F12" t="s">
        <v>70</v>
      </c>
      <c r="G12">
        <v>2</v>
      </c>
      <c r="H12">
        <v>1</v>
      </c>
      <c r="I12">
        <v>1</v>
      </c>
      <c r="J12">
        <v>1</v>
      </c>
      <c r="K12">
        <v>1</v>
      </c>
      <c r="L12">
        <v>3</v>
      </c>
      <c r="M12">
        <v>2</v>
      </c>
      <c r="N12">
        <v>2</v>
      </c>
      <c r="O12" s="2">
        <v>2</v>
      </c>
      <c r="P12" s="2">
        <v>1</v>
      </c>
      <c r="Q12" s="2">
        <v>5</v>
      </c>
      <c r="R12">
        <v>5</v>
      </c>
      <c r="S12">
        <v>3</v>
      </c>
      <c r="T12">
        <v>3</v>
      </c>
      <c r="U12" s="1" t="d">
        <v>2018-02-05T13:59:47.99999991897493800</v>
      </c>
      <c r="V12" s="1" t="d">
        <v>2018-02-05T14:58:30.99999994039535475</v>
      </c>
      <c r="W12" t="s">
        <v>71</v>
      </c>
      <c r="X12">
        <v>2</v>
      </c>
      <c r="Y12">
        <v>1</v>
      </c>
      <c r="Z12">
        <v>1</v>
      </c>
      <c r="AA12">
        <v>3</v>
      </c>
      <c r="AB12">
        <v>3</v>
      </c>
      <c r="AC12">
        <v>1</v>
      </c>
      <c r="AD12">
        <v>1</v>
      </c>
      <c r="AE12">
        <v>3</v>
      </c>
      <c r="AF12" s="2">
        <v>4</v>
      </c>
      <c r="AG12" s="2">
        <v>2</v>
      </c>
      <c r="AH12" s="2">
        <v>2</v>
      </c>
      <c r="AI12">
        <v>1</v>
      </c>
      <c r="AJ12">
        <v>4</v>
      </c>
      <c r="AK12">
        <v>5</v>
      </c>
      <c r="AY12">
        <v>42.827466074500002</v>
      </c>
      <c r="AZ12">
        <v>56.6765490855</v>
      </c>
      <c r="BA12">
        <v>32.336729632500003</v>
      </c>
      <c r="BB12">
        <v>42.548273510999998</v>
      </c>
    </row>
    <row r="13" spans="1:54" x14ac:dyDescent="0.25">
      <c r="A13">
        <v>12</v>
      </c>
      <c r="B13" t="s">
        <v>72</v>
      </c>
      <c r="C13" t="s">
        <v>40</v>
      </c>
      <c r="D13" s="1" t="d">
        <v>2017-08-30T10:50:54.99999979510903575</v>
      </c>
      <c r="E13" s="1" t="d">
        <v>2017-08-30T21:31:56.99999989941716325</v>
      </c>
      <c r="F13" t="s">
        <v>73</v>
      </c>
      <c r="G13">
        <v>2</v>
      </c>
      <c r="H13">
        <v>2</v>
      </c>
      <c r="I13">
        <v>2</v>
      </c>
      <c r="J13">
        <v>4</v>
      </c>
      <c r="K13">
        <v>4</v>
      </c>
      <c r="L13">
        <v>5</v>
      </c>
      <c r="M13">
        <v>5</v>
      </c>
      <c r="N13">
        <v>4</v>
      </c>
      <c r="O13" s="2">
        <v>1</v>
      </c>
      <c r="P13" s="2">
        <v>1</v>
      </c>
      <c r="Q13" s="2">
        <v>5</v>
      </c>
      <c r="R13">
        <v>5</v>
      </c>
      <c r="S13">
        <v>2</v>
      </c>
      <c r="T13">
        <v>1</v>
      </c>
      <c r="U13" s="1" t="d">
        <v>2018-02-14T18:24:54.99999994877725725</v>
      </c>
      <c r="V13" s="1" t="d">
        <v>2018-02-14T18:59:16.000000191852450</v>
      </c>
      <c r="W13" t="s">
        <v>74</v>
      </c>
      <c r="X13">
        <v>2</v>
      </c>
      <c r="Y13">
        <v>2</v>
      </c>
      <c r="Z13">
        <v>2</v>
      </c>
      <c r="AA13">
        <v>2</v>
      </c>
      <c r="AB13">
        <v>2</v>
      </c>
      <c r="AC13">
        <v>5</v>
      </c>
      <c r="AD13">
        <v>5</v>
      </c>
      <c r="AE13">
        <v>4</v>
      </c>
      <c r="AF13" s="2">
        <v>1</v>
      </c>
      <c r="AG13" s="2">
        <v>1</v>
      </c>
      <c r="AH13" s="2">
        <v>6</v>
      </c>
      <c r="AI13">
        <v>5</v>
      </c>
      <c r="AJ13">
        <v>1</v>
      </c>
      <c r="AK13">
        <v>1</v>
      </c>
      <c r="AY13">
        <v>36.6366766895</v>
      </c>
      <c r="AZ13">
        <v>48.066696164</v>
      </c>
      <c r="BA13">
        <v>42.862027199499998</v>
      </c>
      <c r="BB13">
        <v>48.562987679999999</v>
      </c>
    </row>
    <row r="14" spans="1:54" x14ac:dyDescent="0.25">
      <c r="A14">
        <v>13</v>
      </c>
      <c r="B14" t="s">
        <v>75</v>
      </c>
      <c r="C14" t="s">
        <v>40</v>
      </c>
      <c r="D14" s="1" t="d">
        <v>2017-08-31T06:45:39.999999920837581350</v>
      </c>
      <c r="E14" s="1" t="d">
        <v>2017-08-31T07:24:09.99999990686774475</v>
      </c>
      <c r="F14" t="s">
        <v>76</v>
      </c>
      <c r="G14">
        <v>4</v>
      </c>
      <c r="H14">
        <v>1</v>
      </c>
      <c r="I14">
        <v>2</v>
      </c>
      <c r="J14">
        <v>3</v>
      </c>
      <c r="K14">
        <v>3</v>
      </c>
      <c r="L14">
        <v>1</v>
      </c>
      <c r="M14">
        <v>1</v>
      </c>
      <c r="N14">
        <v>2</v>
      </c>
      <c r="O14" s="2">
        <v>3</v>
      </c>
      <c r="P14" s="2">
        <v>5</v>
      </c>
      <c r="Q14" s="2">
        <v>2</v>
      </c>
      <c r="R14">
        <v>1</v>
      </c>
      <c r="S14">
        <v>3</v>
      </c>
      <c r="T14">
        <v>2</v>
      </c>
      <c r="AY14">
        <v>32.868915361500001</v>
      </c>
      <c r="AZ14">
        <v>38.428470486000002</v>
      </c>
    </row>
    <row r="15" spans="1:54" x14ac:dyDescent="0.25">
      <c r="A15">
        <v>14</v>
      </c>
      <c r="B15" t="s">
        <v>77</v>
      </c>
      <c r="C15" t="s">
        <v>40</v>
      </c>
      <c r="D15" s="1" t="d">
        <v>2017-09-06T09:40:37.99999973271042075</v>
      </c>
      <c r="E15" s="1" t="d">
        <v>2017-09-06T11:34:46.00000001024455125</v>
      </c>
      <c r="F15" t="s">
        <v>78</v>
      </c>
      <c r="G15">
        <v>2</v>
      </c>
      <c r="H15">
        <v>3</v>
      </c>
      <c r="I15">
        <v>2</v>
      </c>
      <c r="J15">
        <v>5</v>
      </c>
      <c r="K15">
        <v>5</v>
      </c>
      <c r="L15">
        <v>5</v>
      </c>
      <c r="M15">
        <v>5</v>
      </c>
      <c r="N15">
        <v>3</v>
      </c>
      <c r="O15" s="2">
        <v>2</v>
      </c>
      <c r="P15" s="2">
        <v>2</v>
      </c>
      <c r="Q15" s="2">
        <v>5</v>
      </c>
      <c r="R15">
        <v>5</v>
      </c>
      <c r="S15">
        <v>2</v>
      </c>
      <c r="T15">
        <v>2</v>
      </c>
      <c r="U15" s="1" t="d">
        <v>2018-01-26T20:32:43.99999978020787275</v>
      </c>
      <c r="V15" s="1" t="d">
        <v>2018-02-26T22:05:57.99999986775219525</v>
      </c>
      <c r="W15" t="s">
        <v>79</v>
      </c>
      <c r="X15">
        <v>2</v>
      </c>
      <c r="Y15">
        <v>2</v>
      </c>
      <c r="Z15">
        <v>2</v>
      </c>
      <c r="AA15">
        <v>3</v>
      </c>
      <c r="AB15">
        <v>3</v>
      </c>
      <c r="AC15">
        <v>3</v>
      </c>
      <c r="AD15">
        <v>2</v>
      </c>
      <c r="AE15">
        <v>3</v>
      </c>
      <c r="AF15" s="2">
        <v>2</v>
      </c>
      <c r="AG15" s="2">
        <v>2</v>
      </c>
      <c r="AH15" s="2">
        <v>5</v>
      </c>
      <c r="AI15">
        <v>1</v>
      </c>
      <c r="AJ15">
        <v>2</v>
      </c>
      <c r="AK15">
        <v>1</v>
      </c>
      <c r="AY15">
        <v>39.8418088775</v>
      </c>
      <c r="AZ15">
        <v>43.351410031</v>
      </c>
      <c r="BA15">
        <v>38.120155202500001</v>
      </c>
      <c r="BB15">
        <v>44.177443988500002</v>
      </c>
    </row>
    <row r="16" spans="1:54" x14ac:dyDescent="0.25">
      <c r="A16">
        <v>15</v>
      </c>
      <c r="B16" t="s">
        <v>80</v>
      </c>
      <c r="C16" t="s">
        <v>40</v>
      </c>
      <c r="D16" s="1" t="d">
        <v>2017-08-30T16:49:36.99999979231506600</v>
      </c>
      <c r="E16" s="1" t="d">
        <v>2017-08-30T17:23:16.99999988079070950</v>
      </c>
      <c r="F16" t="s">
        <v>81</v>
      </c>
      <c r="G16">
        <v>2</v>
      </c>
      <c r="H16">
        <v>2</v>
      </c>
      <c r="I16">
        <v>3</v>
      </c>
      <c r="J16">
        <v>4</v>
      </c>
      <c r="K16">
        <v>4</v>
      </c>
      <c r="L16">
        <v>4</v>
      </c>
      <c r="M16">
        <v>4</v>
      </c>
      <c r="N16">
        <v>4</v>
      </c>
      <c r="O16" s="2">
        <v>1</v>
      </c>
      <c r="P16" s="2">
        <v>2</v>
      </c>
      <c r="Q16" s="2">
        <v>5</v>
      </c>
      <c r="R16">
        <v>4</v>
      </c>
      <c r="S16">
        <v>2</v>
      </c>
      <c r="T16">
        <v>1</v>
      </c>
      <c r="AY16">
        <v>37.417182144999998</v>
      </c>
      <c r="AZ16">
        <v>47.573921921999997</v>
      </c>
    </row>
    <row r="17" spans="1:54" x14ac:dyDescent="0.25">
      <c r="A17">
        <v>16</v>
      </c>
      <c r="B17" t="s">
        <v>82</v>
      </c>
      <c r="C17" t="s">
        <v>40</v>
      </c>
      <c r="D17" s="1" t="d">
        <v>2017-08-30T17:13:11.00000029429793550</v>
      </c>
      <c r="E17" s="1" t="d">
        <v>2017-08-30T19:25:00.99999988451600025</v>
      </c>
      <c r="F17" t="s">
        <v>83</v>
      </c>
      <c r="G17">
        <v>2</v>
      </c>
      <c r="H17">
        <v>1</v>
      </c>
      <c r="I17">
        <v>1</v>
      </c>
      <c r="J17">
        <v>2</v>
      </c>
      <c r="K17">
        <v>2</v>
      </c>
      <c r="L17">
        <v>3</v>
      </c>
      <c r="M17">
        <v>3</v>
      </c>
      <c r="N17">
        <v>3</v>
      </c>
      <c r="O17" s="2">
        <v>2</v>
      </c>
      <c r="P17" s="2">
        <v>3</v>
      </c>
      <c r="Q17" s="2">
        <v>5</v>
      </c>
      <c r="R17">
        <v>3</v>
      </c>
      <c r="S17">
        <v>1</v>
      </c>
      <c r="T17">
        <v>2</v>
      </c>
      <c r="U17" s="1" t="d">
        <v>2018-01-29T17:44:03.99999969173222925</v>
      </c>
      <c r="V17" s="1" t="d">
        <v>2018-01-29T18:28:05.99999996367842025</v>
      </c>
      <c r="W17" t="s">
        <v>84</v>
      </c>
      <c r="X17">
        <v>2</v>
      </c>
      <c r="Y17">
        <v>1</v>
      </c>
      <c r="Z17">
        <v>1</v>
      </c>
      <c r="AA17">
        <v>1</v>
      </c>
      <c r="AB17">
        <v>1</v>
      </c>
      <c r="AC17">
        <v>2</v>
      </c>
      <c r="AD17">
        <v>2</v>
      </c>
      <c r="AE17">
        <v>2</v>
      </c>
      <c r="AF17" s="2">
        <v>4</v>
      </c>
      <c r="AG17" s="2">
        <v>3</v>
      </c>
      <c r="AH17" s="2">
        <v>3</v>
      </c>
      <c r="AI17">
        <v>3</v>
      </c>
      <c r="AJ17">
        <v>3</v>
      </c>
      <c r="AK17">
        <v>4</v>
      </c>
      <c r="AY17">
        <v>35.209275230499998</v>
      </c>
      <c r="AZ17">
        <v>48.303910498999997</v>
      </c>
      <c r="BA17">
        <v>43.789237640499998</v>
      </c>
      <c r="BB17">
        <v>41.286448607499999</v>
      </c>
    </row>
    <row r="18" spans="1:54" x14ac:dyDescent="0.25">
      <c r="A18">
        <v>17</v>
      </c>
      <c r="B18" t="s">
        <v>85</v>
      </c>
      <c r="C18" t="s">
        <v>40</v>
      </c>
      <c r="D18" s="1" t="d">
        <v>2017-10-17T08:14:56.99999992735684050</v>
      </c>
      <c r="E18" s="1" t="d">
        <v>2017-10-17T08:46:01.00000001024455125</v>
      </c>
      <c r="F18" t="s">
        <v>86</v>
      </c>
      <c r="G18">
        <v>2</v>
      </c>
      <c r="H18">
        <v>1</v>
      </c>
      <c r="I18">
        <v>2</v>
      </c>
      <c r="J18">
        <v>1</v>
      </c>
      <c r="K18">
        <v>1</v>
      </c>
      <c r="L18">
        <v>2</v>
      </c>
      <c r="M18">
        <v>1</v>
      </c>
      <c r="N18">
        <v>3</v>
      </c>
      <c r="O18" s="2">
        <v>2</v>
      </c>
      <c r="P18" s="2">
        <v>3</v>
      </c>
      <c r="Q18" s="2">
        <v>5</v>
      </c>
      <c r="R18">
        <v>4</v>
      </c>
      <c r="S18">
        <v>3</v>
      </c>
      <c r="T18">
        <v>3</v>
      </c>
      <c r="AY18">
        <v>39.659219542999999</v>
      </c>
      <c r="AZ18">
        <v>55.404516466499999</v>
      </c>
    </row>
    <row r="19" spans="1:54" x14ac:dyDescent="0.25">
      <c r="A19">
        <v>18</v>
      </c>
      <c r="B19" t="s">
        <v>87</v>
      </c>
      <c r="C19" t="s">
        <v>40</v>
      </c>
      <c r="D19" s="1" t="d">
        <v>2017-10-15T09:44:07.99999978858977525</v>
      </c>
      <c r="E19" s="1" t="d">
        <v>2017-10-15T10:36:47.00000021606683650</v>
      </c>
      <c r="F19" t="s">
        <v>88</v>
      </c>
      <c r="G19">
        <v>2</v>
      </c>
      <c r="H19">
        <v>1</v>
      </c>
      <c r="I19">
        <v>2</v>
      </c>
      <c r="J19">
        <v>3</v>
      </c>
      <c r="K19">
        <v>3</v>
      </c>
      <c r="L19">
        <v>1</v>
      </c>
      <c r="M19">
        <v>1</v>
      </c>
      <c r="N19">
        <v>3</v>
      </c>
      <c r="O19" s="2">
        <v>1</v>
      </c>
      <c r="P19" s="2">
        <v>4</v>
      </c>
      <c r="Q19" s="2">
        <v>4</v>
      </c>
      <c r="R19">
        <v>4</v>
      </c>
      <c r="S19">
        <v>3</v>
      </c>
      <c r="T19">
        <v>2</v>
      </c>
      <c r="U19" s="1" t="d">
        <v>2018-02-22T15:42:16.00000001024455125</v>
      </c>
      <c r="V19" s="1" t="d">
        <v>2018-02-22T16:19:34.000000138767063900</v>
      </c>
      <c r="W19" t="s">
        <v>89</v>
      </c>
      <c r="X19">
        <v>2</v>
      </c>
      <c r="Y19">
        <v>1</v>
      </c>
      <c r="Z19">
        <v>2</v>
      </c>
      <c r="AA19">
        <v>2</v>
      </c>
      <c r="AB19">
        <v>2</v>
      </c>
      <c r="AC19">
        <v>3</v>
      </c>
      <c r="AD19">
        <v>3</v>
      </c>
      <c r="AE19">
        <v>2</v>
      </c>
      <c r="AF19" s="2">
        <v>3</v>
      </c>
      <c r="AG19" s="2">
        <v>2</v>
      </c>
      <c r="AH19" s="2">
        <v>2</v>
      </c>
      <c r="AI19">
        <v>3</v>
      </c>
      <c r="AJ19">
        <v>3</v>
      </c>
      <c r="AK19">
        <v>4</v>
      </c>
      <c r="AY19">
        <v>30.546295936</v>
      </c>
      <c r="AZ19">
        <v>58.8750046595</v>
      </c>
      <c r="BA19">
        <v>46.949815182499997</v>
      </c>
      <c r="BB19">
        <v>36.353408172000002</v>
      </c>
    </row>
    <row r="20" spans="1:54" x14ac:dyDescent="0.25">
      <c r="A20">
        <v>19</v>
      </c>
      <c r="B20" t="s">
        <v>90</v>
      </c>
      <c r="C20" t="s">
        <v>40</v>
      </c>
      <c r="D20" s="1" t="d">
        <v>2017-10-16T15:14:00.99999982863664575</v>
      </c>
      <c r="E20" s="1" t="d">
        <v>2017-10-17T07:03:10.0000002002343525</v>
      </c>
      <c r="F20" t="s">
        <v>91</v>
      </c>
      <c r="G20">
        <v>3</v>
      </c>
      <c r="H20">
        <v>1</v>
      </c>
      <c r="I20">
        <v>1</v>
      </c>
      <c r="J20">
        <v>3</v>
      </c>
      <c r="K20">
        <v>4</v>
      </c>
      <c r="L20">
        <v>3</v>
      </c>
      <c r="M20">
        <v>2</v>
      </c>
      <c r="N20">
        <v>3</v>
      </c>
      <c r="O20" s="2">
        <v>4</v>
      </c>
      <c r="P20" s="2">
        <v>4</v>
      </c>
      <c r="Q20" s="2">
        <v>3</v>
      </c>
      <c r="R20">
        <v>3</v>
      </c>
      <c r="S20">
        <v>3</v>
      </c>
      <c r="T20">
        <v>2</v>
      </c>
      <c r="U20" s="1" t="d">
        <v>2018-03-19T11:50:04.00000023655593225</v>
      </c>
      <c r="V20" s="1" t="d">
        <v>2018-03-19T12:21:56.99999982956796675</v>
      </c>
      <c r="W20" t="s">
        <v>92</v>
      </c>
      <c r="X20">
        <v>3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 s="2">
        <v>2</v>
      </c>
      <c r="AG20" s="2">
        <v>3</v>
      </c>
      <c r="AH20" s="2">
        <v>3</v>
      </c>
      <c r="AI20">
        <v>3</v>
      </c>
      <c r="AJ20">
        <v>3</v>
      </c>
      <c r="AK20">
        <v>3</v>
      </c>
      <c r="AY20">
        <v>30.177680895999998</v>
      </c>
      <c r="AZ20">
        <v>40.4705280505</v>
      </c>
      <c r="BA20">
        <v>41.239146347999998</v>
      </c>
      <c r="BB20">
        <v>50.265363696999998</v>
      </c>
    </row>
    <row r="21" spans="1:54" x14ac:dyDescent="0.25">
      <c r="A21">
        <v>20</v>
      </c>
      <c r="B21" t="s">
        <v>93</v>
      </c>
      <c r="C21" t="s">
        <v>40</v>
      </c>
      <c r="D21" s="1" t="d">
        <v>2017-10-06T14:07:19.99999996740371100</v>
      </c>
      <c r="E21" s="1" t="d">
        <v>2017-10-06T15:01:40.00000011641532075</v>
      </c>
      <c r="F21" t="s">
        <v>94</v>
      </c>
      <c r="G21">
        <v>2</v>
      </c>
      <c r="H21">
        <v>2</v>
      </c>
      <c r="I21">
        <v>1</v>
      </c>
      <c r="J21">
        <v>1</v>
      </c>
      <c r="K21">
        <v>1</v>
      </c>
      <c r="L21">
        <v>5</v>
      </c>
      <c r="M21">
        <v>5</v>
      </c>
      <c r="N21">
        <v>1</v>
      </c>
      <c r="O21" s="2">
        <v>1</v>
      </c>
      <c r="P21" s="2">
        <v>1</v>
      </c>
      <c r="Q21" s="2">
        <v>5</v>
      </c>
      <c r="R21">
        <v>4</v>
      </c>
      <c r="S21">
        <v>2</v>
      </c>
      <c r="T21">
        <v>2</v>
      </c>
      <c r="U21" s="1" t="d">
        <v>2018-03-02T11:54:33.0000002542510650</v>
      </c>
      <c r="V21" s="1" t="d">
        <v>2018-03-02T12:30:00.00000020954757600</v>
      </c>
      <c r="W21" t="s">
        <v>95</v>
      </c>
      <c r="X21">
        <v>2</v>
      </c>
      <c r="Y21">
        <v>2</v>
      </c>
      <c r="Z21">
        <v>1</v>
      </c>
      <c r="AA21">
        <v>4</v>
      </c>
      <c r="AB21">
        <v>4</v>
      </c>
      <c r="AC21">
        <v>4</v>
      </c>
      <c r="AD21">
        <v>3</v>
      </c>
      <c r="AE21">
        <v>2</v>
      </c>
      <c r="AF21" s="2">
        <v>3</v>
      </c>
      <c r="AG21" s="2">
        <v>2</v>
      </c>
      <c r="AH21" s="2">
        <v>2</v>
      </c>
      <c r="AI21">
        <v>3</v>
      </c>
      <c r="AJ21">
        <v>3</v>
      </c>
      <c r="AK21">
        <v>4</v>
      </c>
      <c r="AY21">
        <v>53.766643967</v>
      </c>
      <c r="AZ21">
        <v>41.3664348215</v>
      </c>
      <c r="BA21">
        <v>40.608567172500003</v>
      </c>
      <c r="BB21">
        <v>35.481466717000004</v>
      </c>
    </row>
    <row r="22" spans="1:54" x14ac:dyDescent="0.25">
      <c r="A22">
        <v>21</v>
      </c>
      <c r="B22" t="s">
        <v>96</v>
      </c>
      <c r="C22" t="s">
        <v>40</v>
      </c>
      <c r="D22" s="1" t="d">
        <v>2017-10-11T10:06:43.99999993387609425</v>
      </c>
      <c r="E22" s="1" t="d">
        <v>2017-10-11T10:50:22.00000025331973725</v>
      </c>
      <c r="F22" t="s">
        <v>97</v>
      </c>
      <c r="G22">
        <v>3</v>
      </c>
      <c r="H22">
        <v>2</v>
      </c>
      <c r="I22">
        <v>2</v>
      </c>
      <c r="J22">
        <v>4</v>
      </c>
      <c r="K22">
        <v>4</v>
      </c>
      <c r="L22">
        <v>4</v>
      </c>
      <c r="M22">
        <v>3</v>
      </c>
      <c r="N22">
        <v>2</v>
      </c>
      <c r="O22" s="2">
        <v>3</v>
      </c>
      <c r="P22" s="2">
        <v>2</v>
      </c>
      <c r="Q22" s="2">
        <v>3</v>
      </c>
      <c r="R22">
        <v>3</v>
      </c>
      <c r="S22">
        <v>3</v>
      </c>
      <c r="T22">
        <v>3</v>
      </c>
      <c r="U22" s="1" t="d">
        <v>2018-03-25T20:16:24.00000014808028875</v>
      </c>
      <c r="V22" s="1" t="d">
        <v>2018-03-25T20:58:32.00000017415732400</v>
      </c>
      <c r="W22" t="s">
        <v>98</v>
      </c>
      <c r="X22">
        <v>3</v>
      </c>
      <c r="Y22">
        <v>3</v>
      </c>
      <c r="Z22">
        <v>3</v>
      </c>
      <c r="AA22">
        <v>3</v>
      </c>
      <c r="AB22">
        <v>4</v>
      </c>
      <c r="AC22">
        <v>4</v>
      </c>
      <c r="AD22">
        <v>1</v>
      </c>
      <c r="AE22">
        <v>2</v>
      </c>
      <c r="AF22" s="2">
        <v>3</v>
      </c>
      <c r="AG22" s="2">
        <v>1</v>
      </c>
      <c r="AH22" s="2">
        <v>2</v>
      </c>
      <c r="AI22">
        <v>3</v>
      </c>
      <c r="AJ22">
        <v>2</v>
      </c>
      <c r="AK22">
        <v>4</v>
      </c>
      <c r="AY22">
        <v>41.326816559999997</v>
      </c>
      <c r="AZ22">
        <v>36.913085758000001</v>
      </c>
      <c r="BA22">
        <v>50.167449906999998</v>
      </c>
      <c r="BB22">
        <v>35.374541389000001</v>
      </c>
    </row>
    <row r="23" spans="1:54" x14ac:dyDescent="0.25">
      <c r="A23">
        <v>22</v>
      </c>
      <c r="B23" t="s">
        <v>99</v>
      </c>
      <c r="C23" t="s">
        <v>40</v>
      </c>
      <c r="D23" s="1" t="d">
        <v>2017-10-16T12:29:19.00000005494803350</v>
      </c>
      <c r="E23" s="1" t="d">
        <v>2017-10-16T16:39:04.99999978579580550</v>
      </c>
      <c r="F23" t="s">
        <v>100</v>
      </c>
      <c r="G23">
        <v>2</v>
      </c>
      <c r="H23">
        <v>2</v>
      </c>
      <c r="I23">
        <v>2</v>
      </c>
      <c r="J23">
        <v>3</v>
      </c>
      <c r="K23">
        <v>5</v>
      </c>
      <c r="L23">
        <v>2</v>
      </c>
      <c r="M23">
        <v>1</v>
      </c>
      <c r="N23">
        <v>5</v>
      </c>
      <c r="O23" s="2">
        <v>1</v>
      </c>
      <c r="P23" s="2">
        <v>1</v>
      </c>
      <c r="Q23" s="2">
        <v>3</v>
      </c>
      <c r="R23">
        <v>5</v>
      </c>
      <c r="S23">
        <v>4</v>
      </c>
      <c r="T23">
        <v>3</v>
      </c>
      <c r="U23" s="1" t="d">
        <v>2018-02-20T08:08:45.99999995436519675</v>
      </c>
      <c r="V23" s="1" t="d">
        <v>2018-02-20T09:17:11.00000023841858100</v>
      </c>
      <c r="W23" t="s">
        <v>101</v>
      </c>
      <c r="X23">
        <v>1</v>
      </c>
      <c r="Y23">
        <v>2</v>
      </c>
      <c r="Z23">
        <v>2</v>
      </c>
      <c r="AA23">
        <v>5</v>
      </c>
      <c r="AB23">
        <v>5</v>
      </c>
      <c r="AC23">
        <v>3</v>
      </c>
      <c r="AD23">
        <v>1</v>
      </c>
      <c r="AE23">
        <v>5</v>
      </c>
      <c r="AF23" s="2">
        <v>2</v>
      </c>
      <c r="AG23" s="2">
        <v>1</v>
      </c>
      <c r="AH23" s="2">
        <v>5</v>
      </c>
      <c r="AI23">
        <v>4</v>
      </c>
      <c r="AJ23">
        <v>2</v>
      </c>
      <c r="AK23">
        <v>3</v>
      </c>
      <c r="AY23">
        <v>27.8136283945</v>
      </c>
      <c r="AZ23">
        <v>60.276485712000003</v>
      </c>
      <c r="BA23">
        <v>25.440978408500001</v>
      </c>
      <c r="BB23">
        <v>59.426919390499997</v>
      </c>
    </row>
    <row r="24" spans="1:54" x14ac:dyDescent="0.25">
      <c r="A24">
        <v>23</v>
      </c>
      <c r="B24" t="s">
        <v>102</v>
      </c>
      <c r="C24" t="s">
        <v>40</v>
      </c>
      <c r="D24" s="1" t="d">
        <v>2017-10-06T20:40:12.99999975599348625</v>
      </c>
      <c r="E24" s="1" t="d">
        <v>2017-10-07T04:11:16.00000002421438650</v>
      </c>
      <c r="F24" t="s">
        <v>103</v>
      </c>
      <c r="G24">
        <v>3</v>
      </c>
      <c r="H24">
        <v>1</v>
      </c>
      <c r="I24">
        <v>2</v>
      </c>
      <c r="J24">
        <v>3</v>
      </c>
      <c r="K24">
        <v>2</v>
      </c>
      <c r="L24">
        <v>3</v>
      </c>
      <c r="M24">
        <v>3</v>
      </c>
      <c r="N24">
        <v>3</v>
      </c>
      <c r="O24" s="2">
        <v>2</v>
      </c>
      <c r="P24" s="2">
        <v>2</v>
      </c>
      <c r="Q24" s="2">
        <v>3</v>
      </c>
      <c r="R24">
        <v>4</v>
      </c>
      <c r="S24">
        <v>3</v>
      </c>
      <c r="T24">
        <v>3</v>
      </c>
      <c r="U24" s="1" t="d">
        <v>2018-04-22T16:20:28.00000018905848025</v>
      </c>
      <c r="V24" s="1" t="d">
        <v>2018-04-22T18:16:09.99999980907887100</v>
      </c>
      <c r="W24" t="s">
        <v>104</v>
      </c>
      <c r="X24">
        <v>4</v>
      </c>
      <c r="Y24">
        <v>2</v>
      </c>
      <c r="Z24">
        <v>2</v>
      </c>
      <c r="AA24">
        <v>3</v>
      </c>
      <c r="AB24">
        <v>3</v>
      </c>
      <c r="AC24">
        <v>2</v>
      </c>
      <c r="AD24">
        <v>1</v>
      </c>
      <c r="AE24">
        <v>3</v>
      </c>
      <c r="AF24" s="2">
        <v>5</v>
      </c>
      <c r="AG24" s="2">
        <v>4</v>
      </c>
      <c r="AH24" s="2">
        <v>2</v>
      </c>
      <c r="AI24">
        <v>2</v>
      </c>
      <c r="AJ24">
        <v>3</v>
      </c>
      <c r="AK24">
        <v>4</v>
      </c>
      <c r="AY24">
        <v>38.051443967499999</v>
      </c>
      <c r="AZ24">
        <v>45.505011861500002</v>
      </c>
      <c r="BA24">
        <v>36.623795590999997</v>
      </c>
      <c r="BB24">
        <v>33.822208563499998</v>
      </c>
    </row>
    <row r="25" spans="1:54" x14ac:dyDescent="0.25">
      <c r="A25">
        <v>24</v>
      </c>
      <c r="B25" t="s">
        <v>105</v>
      </c>
      <c r="C25" t="s">
        <v>40</v>
      </c>
      <c r="D25" s="1" t="d">
        <v>2017-10-06T12:15:10.00000024214387175</v>
      </c>
      <c r="E25" s="1" t="d">
        <v>2017-10-06T12:57:18.999999873340130025</v>
      </c>
      <c r="F25" t="s">
        <v>106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 s="2">
        <v>2</v>
      </c>
      <c r="P25" s="2">
        <v>2</v>
      </c>
      <c r="Q25" s="2">
        <v>4</v>
      </c>
      <c r="R25">
        <v>2</v>
      </c>
      <c r="S25">
        <v>3</v>
      </c>
      <c r="T25">
        <v>3</v>
      </c>
      <c r="U25" s="1" t="d">
        <v>2018-03-01T17:10:45.00000011175870900</v>
      </c>
      <c r="V25" s="1" t="d">
        <v>2018-03-01T18:17:38.00000026356428850</v>
      </c>
      <c r="W25" t="s">
        <v>107</v>
      </c>
      <c r="X25">
        <v>3</v>
      </c>
      <c r="Y25">
        <v>2</v>
      </c>
      <c r="Z25">
        <v>2</v>
      </c>
      <c r="AA25">
        <v>3</v>
      </c>
      <c r="AB25">
        <v>3</v>
      </c>
      <c r="AC25">
        <v>3</v>
      </c>
      <c r="AD25">
        <v>3</v>
      </c>
      <c r="AE25">
        <v>4</v>
      </c>
      <c r="AF25" s="2">
        <v>3</v>
      </c>
      <c r="AG25" s="2">
        <v>2</v>
      </c>
      <c r="AH25" s="2">
        <v>3</v>
      </c>
      <c r="AI25">
        <v>3</v>
      </c>
      <c r="AJ25">
        <v>3</v>
      </c>
      <c r="AK25">
        <v>4</v>
      </c>
      <c r="AY25">
        <v>44.858360544999996</v>
      </c>
      <c r="AZ25">
        <v>45.216426920000004</v>
      </c>
      <c r="BA25">
        <v>36.834413740000002</v>
      </c>
      <c r="BB25">
        <v>40.053163513000001</v>
      </c>
    </row>
    <row r="26" spans="1:54" x14ac:dyDescent="0.25">
      <c r="A26">
        <v>25</v>
      </c>
      <c r="B26" t="s">
        <v>108</v>
      </c>
      <c r="C26" t="s">
        <v>40</v>
      </c>
      <c r="U26" s="1" t="d">
        <v>2018-03-27T19:25:34.00000005494803350</v>
      </c>
      <c r="V26" s="1" t="d">
        <v>2018-03-27T20:30:34.9999997997656475</v>
      </c>
      <c r="W26" t="s">
        <v>109</v>
      </c>
      <c r="X26">
        <v>3</v>
      </c>
      <c r="Y26">
        <v>1</v>
      </c>
      <c r="Z26">
        <v>1</v>
      </c>
      <c r="AA26">
        <v>2</v>
      </c>
      <c r="AB26">
        <v>1</v>
      </c>
      <c r="AC26">
        <v>2</v>
      </c>
      <c r="AD26">
        <v>2</v>
      </c>
      <c r="AE26">
        <v>3</v>
      </c>
      <c r="AF26" s="2">
        <v>2</v>
      </c>
      <c r="AG26" s="2">
        <v>2</v>
      </c>
      <c r="AH26" s="2">
        <v>2</v>
      </c>
      <c r="AI26">
        <v>3</v>
      </c>
      <c r="AJ26">
        <v>3</v>
      </c>
      <c r="AK26">
        <v>2</v>
      </c>
      <c r="BA26">
        <v>36.661262399999998</v>
      </c>
      <c r="BB26">
        <v>45.3252731555</v>
      </c>
    </row>
    <row r="27" spans="1:54" x14ac:dyDescent="0.25">
      <c r="A27">
        <v>26</v>
      </c>
      <c r="B27" t="s">
        <v>110</v>
      </c>
      <c r="C27" t="s">
        <v>111</v>
      </c>
      <c r="D27" s="1" t="d">
        <v>2017-12-11T08:10:45.00000011175870900</v>
      </c>
      <c r="E27" s="1" t="d">
        <v>2017-12-11T08:57:54.99999969732016200</v>
      </c>
      <c r="F27" t="s">
        <v>112</v>
      </c>
      <c r="G27">
        <v>2</v>
      </c>
      <c r="H27">
        <v>2</v>
      </c>
      <c r="I27">
        <v>1</v>
      </c>
      <c r="J27">
        <v>5</v>
      </c>
      <c r="K27">
        <v>5</v>
      </c>
      <c r="L27">
        <v>4</v>
      </c>
      <c r="M27">
        <v>4</v>
      </c>
      <c r="N27">
        <v>4</v>
      </c>
      <c r="O27" s="2">
        <v>2</v>
      </c>
      <c r="P27" s="2">
        <v>1</v>
      </c>
      <c r="Q27" s="2">
        <v>6</v>
      </c>
      <c r="R27">
        <v>5</v>
      </c>
      <c r="S27">
        <v>4</v>
      </c>
      <c r="T27">
        <v>2</v>
      </c>
      <c r="U27" s="1" t="d">
        <v>2018-03-26T08:01:13.99999990593641700</v>
      </c>
      <c r="V27" s="1" t="d">
        <v>2018-03-26T08:40:29.9999999580904875</v>
      </c>
      <c r="W27" t="s">
        <v>113</v>
      </c>
      <c r="X27">
        <v>2</v>
      </c>
      <c r="Y27">
        <v>2</v>
      </c>
      <c r="Z27">
        <v>2</v>
      </c>
      <c r="AA27">
        <v>4</v>
      </c>
      <c r="AB27">
        <v>4</v>
      </c>
      <c r="AC27">
        <v>4</v>
      </c>
      <c r="AD27">
        <v>3</v>
      </c>
      <c r="AE27">
        <v>4</v>
      </c>
      <c r="AF27" s="2">
        <v>3</v>
      </c>
      <c r="AG27" s="2">
        <v>2</v>
      </c>
      <c r="AH27" s="2">
        <v>4</v>
      </c>
      <c r="AI27">
        <v>4</v>
      </c>
      <c r="AJ27">
        <v>4</v>
      </c>
      <c r="AK27">
        <v>5</v>
      </c>
      <c r="AY27">
        <v>26.782879899499999</v>
      </c>
      <c r="AZ27">
        <v>56.879565651500002</v>
      </c>
      <c r="BA27">
        <v>35.632374415000001</v>
      </c>
      <c r="BB27">
        <v>43.810670016499998</v>
      </c>
    </row>
    <row r="28" spans="1:54" x14ac:dyDescent="0.25">
      <c r="A28">
        <v>27</v>
      </c>
      <c r="B28" t="s">
        <v>114</v>
      </c>
      <c r="C28" t="s">
        <v>111</v>
      </c>
      <c r="D28" s="1" t="d">
        <v>2017-11-07T19:45:42.99999978393316350</v>
      </c>
      <c r="E28" s="1" t="d">
        <v>2017-11-07T20:22:33.00000028219074225</v>
      </c>
      <c r="F28" t="s">
        <v>115</v>
      </c>
      <c r="G28">
        <v>2</v>
      </c>
      <c r="H28">
        <v>3</v>
      </c>
      <c r="I28">
        <v>2</v>
      </c>
      <c r="J28">
        <v>5</v>
      </c>
      <c r="K28">
        <v>5</v>
      </c>
      <c r="L28">
        <v>3</v>
      </c>
      <c r="M28">
        <v>3</v>
      </c>
      <c r="N28">
        <v>4</v>
      </c>
      <c r="O28" s="2">
        <v>2</v>
      </c>
      <c r="P28" s="2">
        <v>5</v>
      </c>
      <c r="Q28" s="2">
        <v>5</v>
      </c>
      <c r="R28">
        <v>4</v>
      </c>
      <c r="S28">
        <v>4</v>
      </c>
      <c r="T28">
        <v>3</v>
      </c>
      <c r="AY28">
        <v>30.085696258999999</v>
      </c>
      <c r="AZ28">
        <v>47.458653087499997</v>
      </c>
    </row>
    <row r="29" spans="1:54" x14ac:dyDescent="0.25">
      <c r="A29">
        <v>28</v>
      </c>
      <c r="B29" t="s">
        <v>116</v>
      </c>
      <c r="C29" t="s">
        <v>40</v>
      </c>
      <c r="D29" s="1" t="d">
        <v>2017-11-08T06:53:13.999999808147550</v>
      </c>
      <c r="E29" s="1" t="d">
        <v>2017-11-08T07:28:54.000000287778675</v>
      </c>
      <c r="F29" t="s">
        <v>117</v>
      </c>
      <c r="G29">
        <v>2</v>
      </c>
      <c r="H29">
        <v>1</v>
      </c>
      <c r="I29">
        <v>2</v>
      </c>
      <c r="J29">
        <v>4</v>
      </c>
      <c r="K29">
        <v>3</v>
      </c>
      <c r="L29">
        <v>4</v>
      </c>
      <c r="M29">
        <v>4</v>
      </c>
      <c r="N29">
        <v>3</v>
      </c>
      <c r="O29" s="2">
        <v>3</v>
      </c>
      <c r="P29" s="2">
        <v>1</v>
      </c>
      <c r="Q29" s="2">
        <v>6</v>
      </c>
      <c r="R29">
        <v>5</v>
      </c>
      <c r="S29">
        <v>3</v>
      </c>
      <c r="T29">
        <v>2</v>
      </c>
      <c r="U29" s="1" t="d">
        <v>2018-02-23T13:31:30.99999989848584225</v>
      </c>
      <c r="V29" s="1" t="d">
        <v>2018-02-23T14:14:39.00000012014061150</v>
      </c>
      <c r="W29" t="s">
        <v>118</v>
      </c>
      <c r="X29">
        <v>2</v>
      </c>
      <c r="Y29">
        <v>2</v>
      </c>
      <c r="Z29">
        <v>2</v>
      </c>
      <c r="AA29">
        <v>4</v>
      </c>
      <c r="AB29">
        <v>4</v>
      </c>
      <c r="AC29">
        <v>4</v>
      </c>
      <c r="AD29">
        <v>4</v>
      </c>
      <c r="AE29">
        <v>5</v>
      </c>
      <c r="AF29" s="2">
        <v>2</v>
      </c>
      <c r="AG29" s="2">
        <v>1</v>
      </c>
      <c r="AH29" s="2">
        <v>5</v>
      </c>
      <c r="AI29">
        <v>4</v>
      </c>
      <c r="AJ29">
        <v>3</v>
      </c>
      <c r="AK29">
        <v>4</v>
      </c>
      <c r="AY29">
        <v>36.969248729500002</v>
      </c>
      <c r="AZ29">
        <v>52.416237970499999</v>
      </c>
      <c r="BA29">
        <v>31.773619177</v>
      </c>
      <c r="BB29">
        <v>48.962435892999999</v>
      </c>
    </row>
    <row r="30" spans="1:54" x14ac:dyDescent="0.25">
      <c r="A30">
        <v>29</v>
      </c>
      <c r="B30" t="s">
        <v>119</v>
      </c>
      <c r="C30" t="s">
        <v>40</v>
      </c>
      <c r="D30" s="1" t="d">
        <v>2017-11-07T20:41:52.00000026728957925</v>
      </c>
      <c r="E30" s="1" t="d">
        <v>2017-11-07T21:31:45.99999984260648775</v>
      </c>
      <c r="F30" t="s">
        <v>120</v>
      </c>
      <c r="G30">
        <v>3</v>
      </c>
      <c r="H30">
        <v>2</v>
      </c>
      <c r="I30">
        <v>2</v>
      </c>
      <c r="J30">
        <v>4</v>
      </c>
      <c r="K30">
        <v>4</v>
      </c>
      <c r="L30">
        <v>4</v>
      </c>
      <c r="M30">
        <v>4</v>
      </c>
      <c r="N30">
        <v>3</v>
      </c>
      <c r="O30" s="2">
        <v>3</v>
      </c>
      <c r="P30" s="2">
        <v>2</v>
      </c>
      <c r="Q30" s="2">
        <v>4</v>
      </c>
      <c r="R30">
        <v>3</v>
      </c>
      <c r="S30">
        <v>3</v>
      </c>
      <c r="T30">
        <v>2</v>
      </c>
      <c r="U30" s="1" t="d">
        <v>2018-03-20T13:58:28.00000007729977125</v>
      </c>
      <c r="V30" s="1" t="d">
        <v>2018-03-20T14:40:53.99999991059303550</v>
      </c>
      <c r="W30" t="s">
        <v>121</v>
      </c>
      <c r="X30">
        <v>3</v>
      </c>
      <c r="Y30">
        <v>2</v>
      </c>
      <c r="Z30">
        <v>2</v>
      </c>
      <c r="AA30">
        <v>3</v>
      </c>
      <c r="AB30">
        <v>3</v>
      </c>
      <c r="AC30">
        <v>4</v>
      </c>
      <c r="AD30">
        <v>4</v>
      </c>
      <c r="AE30">
        <v>3</v>
      </c>
      <c r="AF30" s="2">
        <v>3</v>
      </c>
      <c r="AG30" s="2">
        <v>2</v>
      </c>
      <c r="AH30" s="2">
        <v>5</v>
      </c>
      <c r="AI30">
        <v>3</v>
      </c>
      <c r="AJ30">
        <v>3</v>
      </c>
      <c r="AK30">
        <v>2</v>
      </c>
      <c r="AY30">
        <v>37.716919359999999</v>
      </c>
      <c r="AZ30">
        <v>38.488139026500001</v>
      </c>
      <c r="BA30">
        <v>40.295970625000002</v>
      </c>
      <c r="BB30">
        <v>40.230073742499997</v>
      </c>
    </row>
    <row r="31" spans="1:54" x14ac:dyDescent="0.25">
      <c r="A31">
        <v>30</v>
      </c>
      <c r="B31" t="s">
        <v>122</v>
      </c>
      <c r="C31" t="s">
        <v>40</v>
      </c>
      <c r="D31" s="1" t="d">
        <v>2017-11-07T14:20:31.00000005215406375</v>
      </c>
      <c r="E31" s="1" t="d">
        <v>2017-11-07T14:53:39.99999980907887100</v>
      </c>
      <c r="F31" t="s">
        <v>123</v>
      </c>
      <c r="G31">
        <v>3</v>
      </c>
      <c r="H31">
        <v>2</v>
      </c>
      <c r="I31">
        <v>2</v>
      </c>
      <c r="J31">
        <v>4</v>
      </c>
      <c r="K31">
        <v>4</v>
      </c>
      <c r="L31">
        <v>5</v>
      </c>
      <c r="M31">
        <v>5</v>
      </c>
      <c r="N31">
        <v>4</v>
      </c>
      <c r="O31" s="2">
        <v>2</v>
      </c>
      <c r="P31" s="2">
        <v>6</v>
      </c>
      <c r="Q31" s="2">
        <v>6</v>
      </c>
      <c r="R31">
        <v>4</v>
      </c>
      <c r="S31">
        <v>3</v>
      </c>
      <c r="T31">
        <v>2</v>
      </c>
      <c r="U31" s="1" t="d">
        <v>2018-03-08T18:14:48.00000012852251400</v>
      </c>
      <c r="V31" s="1" t="d">
        <v>2018-03-08T18:35:47.99999983515590625</v>
      </c>
      <c r="W31" t="s">
        <v>124</v>
      </c>
      <c r="X31">
        <v>3</v>
      </c>
      <c r="Y31">
        <v>2</v>
      </c>
      <c r="Z31">
        <v>2</v>
      </c>
      <c r="AA31">
        <v>4</v>
      </c>
      <c r="AB31">
        <v>4</v>
      </c>
      <c r="AC31">
        <v>3</v>
      </c>
      <c r="AD31">
        <v>3</v>
      </c>
      <c r="AE31">
        <v>4</v>
      </c>
      <c r="AF31" s="2">
        <v>1</v>
      </c>
      <c r="AG31" s="2">
        <v>2</v>
      </c>
      <c r="AH31" s="2">
        <v>5</v>
      </c>
      <c r="AI31">
        <v>4</v>
      </c>
      <c r="AJ31">
        <v>3</v>
      </c>
      <c r="AK31">
        <v>1</v>
      </c>
      <c r="AY31">
        <v>31.349218454500001</v>
      </c>
      <c r="AZ31">
        <v>39.231953071500001</v>
      </c>
      <c r="BA31">
        <v>29.472385922499999</v>
      </c>
      <c r="BB31">
        <v>54.364638374499997</v>
      </c>
    </row>
    <row r="32" spans="1:54" x14ac:dyDescent="0.25">
      <c r="A32">
        <v>31</v>
      </c>
      <c r="B32" t="s">
        <v>125</v>
      </c>
      <c r="C32" t="s">
        <v>40</v>
      </c>
      <c r="D32" s="1" t="d">
        <v>2017-11-07T17:06:30.99999982863664575</v>
      </c>
      <c r="E32" s="1" t="d">
        <v>2017-11-07T17:38:11.999999759718775650</v>
      </c>
      <c r="F32" t="s">
        <v>126</v>
      </c>
      <c r="G32">
        <v>3</v>
      </c>
      <c r="H32">
        <v>3</v>
      </c>
      <c r="I32">
        <v>3</v>
      </c>
      <c r="J32">
        <v>5</v>
      </c>
      <c r="K32">
        <v>5</v>
      </c>
      <c r="L32">
        <v>5</v>
      </c>
      <c r="M32">
        <v>5</v>
      </c>
      <c r="N32">
        <v>2</v>
      </c>
      <c r="O32" s="2">
        <v>4</v>
      </c>
      <c r="P32" s="2">
        <v>2</v>
      </c>
      <c r="Q32" s="2">
        <v>3</v>
      </c>
      <c r="R32">
        <v>4</v>
      </c>
      <c r="S32">
        <v>5</v>
      </c>
      <c r="T32">
        <v>4</v>
      </c>
      <c r="U32" s="1" t="d">
        <v>2018-04-12T15:08:18.99999971967190650</v>
      </c>
      <c r="V32" s="1" t="d">
        <v>2018-04-12T15:54:36.00000011734664175</v>
      </c>
      <c r="W32" t="s">
        <v>127</v>
      </c>
      <c r="X32">
        <v>2</v>
      </c>
      <c r="Y32">
        <v>2</v>
      </c>
      <c r="Z32">
        <v>3</v>
      </c>
      <c r="AA32">
        <v>4</v>
      </c>
      <c r="AB32">
        <v>4</v>
      </c>
      <c r="AC32">
        <v>3</v>
      </c>
      <c r="AD32">
        <v>4</v>
      </c>
      <c r="AE32">
        <v>4</v>
      </c>
      <c r="AF32" s="2">
        <v>4</v>
      </c>
      <c r="AG32" s="2">
        <v>2</v>
      </c>
      <c r="AH32" s="2">
        <v>2</v>
      </c>
      <c r="AI32">
        <v>2</v>
      </c>
      <c r="AJ32">
        <v>3</v>
      </c>
      <c r="AK32">
        <v>3</v>
      </c>
      <c r="AY32">
        <v>48.692407562500001</v>
      </c>
      <c r="AZ32">
        <v>28.120335219499999</v>
      </c>
      <c r="BA32">
        <v>41.493197455000001</v>
      </c>
      <c r="BB32">
        <v>29.785158876000001</v>
      </c>
    </row>
    <row r="33" spans="1:54" x14ac:dyDescent="0.25">
      <c r="A33">
        <v>32</v>
      </c>
      <c r="B33" t="s">
        <v>128</v>
      </c>
      <c r="C33" t="s">
        <v>40</v>
      </c>
      <c r="D33" s="1" t="d">
        <v>2017-12-08T19:37:25.99999990314245400</v>
      </c>
      <c r="E33" s="1" t="d">
        <v>2017-12-08T20:18:41.0000001126900300</v>
      </c>
      <c r="F33" t="s">
        <v>129</v>
      </c>
      <c r="G33">
        <v>3</v>
      </c>
      <c r="H33">
        <v>2</v>
      </c>
      <c r="I33">
        <v>2</v>
      </c>
      <c r="J33">
        <v>4</v>
      </c>
      <c r="K33">
        <v>4</v>
      </c>
      <c r="L33">
        <v>4</v>
      </c>
      <c r="M33">
        <v>3</v>
      </c>
      <c r="N33">
        <v>4</v>
      </c>
      <c r="O33" s="2">
        <v>2</v>
      </c>
      <c r="P33" s="2">
        <v>3</v>
      </c>
      <c r="Q33" s="2">
        <v>4</v>
      </c>
      <c r="R33">
        <v>4</v>
      </c>
      <c r="S33">
        <v>2</v>
      </c>
      <c r="T33">
        <v>2</v>
      </c>
      <c r="U33" s="1" t="d">
        <v>2018-05-03T15:47:13.99999989196658175</v>
      </c>
      <c r="V33" s="1" t="d">
        <v>2018-05-03T16:26:23.00000019371509875</v>
      </c>
      <c r="W33" t="s">
        <v>130</v>
      </c>
      <c r="X33">
        <v>3</v>
      </c>
      <c r="Y33">
        <v>2</v>
      </c>
      <c r="Z33">
        <v>3</v>
      </c>
      <c r="AA33">
        <v>3</v>
      </c>
      <c r="AB33">
        <v>4</v>
      </c>
      <c r="AC33">
        <v>3</v>
      </c>
      <c r="AD33">
        <v>3</v>
      </c>
      <c r="AE33">
        <v>4</v>
      </c>
      <c r="AF33" s="2">
        <v>2</v>
      </c>
      <c r="AG33" s="2">
        <v>3</v>
      </c>
      <c r="AH33" s="2">
        <v>3</v>
      </c>
      <c r="AI33">
        <v>4</v>
      </c>
      <c r="AJ33">
        <v>2</v>
      </c>
      <c r="AK33">
        <v>2</v>
      </c>
      <c r="AY33">
        <v>32.228448515499998</v>
      </c>
      <c r="AZ33">
        <v>44.6331954455</v>
      </c>
      <c r="BA33">
        <v>37.389992445499999</v>
      </c>
      <c r="BB33">
        <v>42.604575434499999</v>
      </c>
    </row>
    <row r="34" spans="1:54" x14ac:dyDescent="0.25">
      <c r="A34">
        <v>33</v>
      </c>
      <c r="B34" t="s">
        <v>131</v>
      </c>
      <c r="C34" t="s">
        <v>111</v>
      </c>
      <c r="D34" s="1" t="d">
        <v>2017-12-22T18:28:39.99999973922968125</v>
      </c>
      <c r="E34" s="1" t="d">
        <v>2017-12-22T18:56:03.99999994318932450</v>
      </c>
      <c r="F34" t="s">
        <v>132</v>
      </c>
      <c r="G34">
        <v>3</v>
      </c>
      <c r="H34">
        <v>2</v>
      </c>
      <c r="I34">
        <v>2</v>
      </c>
      <c r="J34">
        <v>5</v>
      </c>
      <c r="K34">
        <v>4</v>
      </c>
      <c r="L34">
        <v>5</v>
      </c>
      <c r="M34">
        <v>3</v>
      </c>
      <c r="N34">
        <v>4</v>
      </c>
      <c r="O34" s="2">
        <v>1</v>
      </c>
      <c r="P34" s="2">
        <v>1</v>
      </c>
      <c r="Q34" s="2">
        <v>5</v>
      </c>
      <c r="R34">
        <v>4</v>
      </c>
      <c r="S34">
        <v>3</v>
      </c>
      <c r="T34">
        <v>2</v>
      </c>
      <c r="U34" s="1" t="d">
        <v>2018-05-03T19:35:35.99999996367842025</v>
      </c>
      <c r="V34" s="1" t="d">
        <v>2018-05-04T10:38:37.99999976065009800</v>
      </c>
      <c r="W34" t="s">
        <v>133</v>
      </c>
      <c r="X34">
        <v>3</v>
      </c>
      <c r="Y34">
        <v>2</v>
      </c>
      <c r="Z34">
        <v>2</v>
      </c>
      <c r="AA34">
        <v>4</v>
      </c>
      <c r="AB34">
        <v>3</v>
      </c>
      <c r="AC34">
        <v>4</v>
      </c>
      <c r="AD34">
        <v>3</v>
      </c>
      <c r="AE34">
        <v>4</v>
      </c>
      <c r="AF34" s="2">
        <v>1</v>
      </c>
      <c r="AG34" s="2">
        <v>1</v>
      </c>
      <c r="AH34" s="2">
        <v>5</v>
      </c>
      <c r="AI34">
        <v>4</v>
      </c>
      <c r="AJ34">
        <v>3</v>
      </c>
      <c r="AK34">
        <v>3</v>
      </c>
      <c r="AY34">
        <v>31.159232534499999</v>
      </c>
      <c r="AZ34">
        <v>50.048213716500001</v>
      </c>
      <c r="BA34">
        <v>33.365575204499997</v>
      </c>
      <c r="BB34">
        <v>51.969722921500001</v>
      </c>
    </row>
    <row r="35" spans="1:54" x14ac:dyDescent="0.25">
      <c r="A35">
        <v>34</v>
      </c>
      <c r="B35" t="s">
        <v>134</v>
      </c>
      <c r="C35" t="s">
        <v>40</v>
      </c>
      <c r="D35" s="1" t="d">
        <v>2017-12-08T23:09:03.99999976158141900</v>
      </c>
      <c r="E35" s="1" t="d">
        <v>2017-12-09T00:34:48.999999873340130025</v>
      </c>
      <c r="F35" t="s">
        <v>135</v>
      </c>
      <c r="G35">
        <v>3</v>
      </c>
      <c r="H35">
        <v>3</v>
      </c>
      <c r="I35">
        <v>2</v>
      </c>
      <c r="J35">
        <v>5</v>
      </c>
      <c r="K35">
        <v>5</v>
      </c>
      <c r="L35">
        <v>5</v>
      </c>
      <c r="M35">
        <v>5</v>
      </c>
      <c r="N35">
        <v>3</v>
      </c>
      <c r="O35" s="2">
        <v>1</v>
      </c>
      <c r="P35" s="2">
        <v>1</v>
      </c>
      <c r="Q35" s="2">
        <v>6</v>
      </c>
      <c r="R35">
        <v>5</v>
      </c>
      <c r="S35">
        <v>2</v>
      </c>
      <c r="T35">
        <v>2</v>
      </c>
      <c r="U35" s="1" t="d">
        <v>2018-04-16T17:23:21.99999979231506600</v>
      </c>
      <c r="V35" s="1" t="d">
        <v>2018-04-16T18:12:07.00000021141022475</v>
      </c>
      <c r="W35" t="s">
        <v>136</v>
      </c>
      <c r="X35">
        <v>3</v>
      </c>
      <c r="Y35">
        <v>2</v>
      </c>
      <c r="Z35">
        <v>2</v>
      </c>
      <c r="AA35">
        <v>4</v>
      </c>
      <c r="AB35">
        <v>4</v>
      </c>
      <c r="AC35">
        <v>4</v>
      </c>
      <c r="AD35">
        <v>4</v>
      </c>
      <c r="AE35">
        <v>3</v>
      </c>
      <c r="AF35" s="2">
        <v>4</v>
      </c>
      <c r="AG35" s="2">
        <v>3</v>
      </c>
      <c r="AH35" s="2">
        <v>4</v>
      </c>
      <c r="AI35">
        <v>5</v>
      </c>
      <c r="AJ35">
        <v>2</v>
      </c>
      <c r="AK35">
        <v>4</v>
      </c>
      <c r="AY35">
        <v>36.569393482000002</v>
      </c>
      <c r="AZ35">
        <v>49.938598679999998</v>
      </c>
      <c r="BA35">
        <v>38.196261292999999</v>
      </c>
      <c r="BB35">
        <v>40.340098253500003</v>
      </c>
    </row>
    <row r="36" spans="1:54" x14ac:dyDescent="0.25">
      <c r="A36">
        <v>35</v>
      </c>
      <c r="B36" t="s">
        <v>137</v>
      </c>
      <c r="C36" t="s">
        <v>40</v>
      </c>
      <c r="D36" s="1" t="d">
        <v>2017-12-09T11:34:46.00000001024455125</v>
      </c>
      <c r="E36" s="1" t="d">
        <v>2017-12-09T13:05:59.00000010151415775</v>
      </c>
      <c r="F36" t="s">
        <v>138</v>
      </c>
      <c r="G36">
        <v>3</v>
      </c>
      <c r="H36">
        <v>2</v>
      </c>
      <c r="I36">
        <v>2</v>
      </c>
      <c r="J36">
        <v>2</v>
      </c>
      <c r="K36">
        <v>3</v>
      </c>
      <c r="L36">
        <v>3</v>
      </c>
      <c r="M36">
        <v>3</v>
      </c>
      <c r="N36">
        <v>3</v>
      </c>
      <c r="O36" s="2">
        <v>2</v>
      </c>
      <c r="P36" s="2">
        <v>2</v>
      </c>
      <c r="Q36" s="2">
        <v>5</v>
      </c>
      <c r="R36">
        <v>3</v>
      </c>
      <c r="S36">
        <v>3</v>
      </c>
      <c r="T36">
        <v>2</v>
      </c>
      <c r="U36" s="1" t="d">
        <v>2018-05-18T07:29:37.99999988637864900</v>
      </c>
      <c r="V36" s="1" t="d">
        <v>2018-05-18T09:46:46.00000026170164650</v>
      </c>
      <c r="W36" t="s">
        <v>139</v>
      </c>
      <c r="X36">
        <v>4</v>
      </c>
      <c r="Y36">
        <v>1</v>
      </c>
      <c r="Z36">
        <v>1</v>
      </c>
      <c r="AA36">
        <v>3</v>
      </c>
      <c r="AB36">
        <v>3</v>
      </c>
      <c r="AC36">
        <v>2</v>
      </c>
      <c r="AD36">
        <v>3</v>
      </c>
      <c r="AE36">
        <v>2</v>
      </c>
      <c r="AF36" s="2">
        <v>4</v>
      </c>
      <c r="AG36" s="2">
        <v>5</v>
      </c>
      <c r="AH36" s="2">
        <v>2</v>
      </c>
      <c r="AI36">
        <v>2</v>
      </c>
      <c r="AJ36">
        <v>3</v>
      </c>
      <c r="AK36">
        <v>4</v>
      </c>
      <c r="AY36">
        <v>38.993499024999998</v>
      </c>
      <c r="AZ36">
        <v>46.977867525999997</v>
      </c>
      <c r="BA36">
        <v>33.143991468999999</v>
      </c>
      <c r="BB36">
        <v>33.322723197499997</v>
      </c>
    </row>
    <row r="37" spans="1:54" x14ac:dyDescent="0.25">
      <c r="A37">
        <v>36</v>
      </c>
      <c r="B37" t="s">
        <v>140</v>
      </c>
      <c r="C37" t="s">
        <v>40</v>
      </c>
      <c r="D37" s="1" t="d">
        <v>2018-01-10T20:07:26.0000001126900300</v>
      </c>
      <c r="E37" s="1" t="d">
        <v>2018-01-10T23:02:46.00000003818422850</v>
      </c>
      <c r="F37" t="s">
        <v>141</v>
      </c>
      <c r="G37">
        <v>2</v>
      </c>
      <c r="H37">
        <v>2</v>
      </c>
      <c r="I37">
        <v>2</v>
      </c>
      <c r="J37">
        <v>3</v>
      </c>
      <c r="K37">
        <v>3</v>
      </c>
      <c r="L37">
        <v>3</v>
      </c>
      <c r="M37">
        <v>2</v>
      </c>
      <c r="N37">
        <v>2</v>
      </c>
      <c r="O37" s="2">
        <v>2</v>
      </c>
      <c r="P37" s="2">
        <v>2</v>
      </c>
      <c r="Q37" s="2">
        <v>3</v>
      </c>
      <c r="R37">
        <v>4</v>
      </c>
      <c r="S37">
        <v>3</v>
      </c>
      <c r="T37">
        <v>3</v>
      </c>
      <c r="U37" s="1" t="d">
        <v>2018-07-16T20:01:13.99999990593641700</v>
      </c>
      <c r="V37" s="1" t="d">
        <v>2018-07-16T21:16:57.99999971408396700</v>
      </c>
      <c r="W37" t="s">
        <v>142</v>
      </c>
      <c r="X37">
        <v>3</v>
      </c>
      <c r="Y37">
        <v>1</v>
      </c>
      <c r="Z37">
        <v>2</v>
      </c>
      <c r="AA37">
        <v>3</v>
      </c>
      <c r="AB37">
        <v>2</v>
      </c>
      <c r="AC37">
        <v>1</v>
      </c>
      <c r="AD37">
        <v>1</v>
      </c>
      <c r="AE37">
        <v>2</v>
      </c>
      <c r="AF37" s="2">
        <v>3</v>
      </c>
      <c r="AG37" s="2">
        <v>4</v>
      </c>
      <c r="AH37" s="2">
        <v>2</v>
      </c>
      <c r="AI37">
        <v>2</v>
      </c>
      <c r="AJ37">
        <v>4</v>
      </c>
      <c r="AK37">
        <v>4</v>
      </c>
      <c r="AY37">
        <v>43.949749750000002</v>
      </c>
      <c r="AZ37">
        <v>45.736011634</v>
      </c>
      <c r="BA37">
        <v>37.3936993935</v>
      </c>
      <c r="BB37">
        <v>41.892145230499999</v>
      </c>
    </row>
    <row r="38" spans="1:54" x14ac:dyDescent="0.25">
      <c r="A38">
        <v>37</v>
      </c>
      <c r="B38" t="s">
        <v>143</v>
      </c>
      <c r="C38" t="s">
        <v>111</v>
      </c>
      <c r="D38" s="1" t="d">
        <v>2018-01-05T19:55:01.00000009406358300</v>
      </c>
      <c r="E38" s="1" t="d">
        <v>2018-01-05T20:53:34.00000029243528675</v>
      </c>
      <c r="F38" t="s">
        <v>144</v>
      </c>
      <c r="G38">
        <v>3</v>
      </c>
      <c r="I38">
        <v>3</v>
      </c>
      <c r="J38">
        <v>5</v>
      </c>
      <c r="K38">
        <v>4</v>
      </c>
      <c r="L38">
        <v>4</v>
      </c>
      <c r="M38">
        <v>2</v>
      </c>
      <c r="N38">
        <v>4</v>
      </c>
      <c r="O38" s="2">
        <v>4</v>
      </c>
      <c r="P38" s="2">
        <v>5</v>
      </c>
      <c r="Q38" s="2">
        <v>4</v>
      </c>
      <c r="R38">
        <v>3</v>
      </c>
      <c r="S38">
        <v>2</v>
      </c>
      <c r="T38">
        <v>4</v>
      </c>
      <c r="U38" s="1" t="d">
        <v>2018-04-17T13:01:09.99999980907887100</v>
      </c>
      <c r="V38" s="1" t="d">
        <v>2018-04-17T13:33:20.99999983794986925</v>
      </c>
      <c r="W38" t="s">
        <v>145</v>
      </c>
      <c r="X38">
        <v>3</v>
      </c>
      <c r="Y38">
        <v>2</v>
      </c>
      <c r="Z38">
        <v>2</v>
      </c>
      <c r="AA38">
        <v>2</v>
      </c>
      <c r="AB38">
        <v>3</v>
      </c>
      <c r="AC38">
        <v>3</v>
      </c>
      <c r="AD38">
        <v>3</v>
      </c>
      <c r="AE38">
        <v>3</v>
      </c>
      <c r="AF38" s="2">
        <v>3</v>
      </c>
      <c r="AG38" s="2">
        <v>3</v>
      </c>
      <c r="AH38" s="2">
        <v>4</v>
      </c>
      <c r="AI38">
        <v>4</v>
      </c>
      <c r="AJ38">
        <v>3</v>
      </c>
      <c r="AK38">
        <v>2</v>
      </c>
      <c r="BA38">
        <v>40.424846990500001</v>
      </c>
      <c r="BB38">
        <v>43.127912919499998</v>
      </c>
    </row>
    <row r="39" spans="1:54" x14ac:dyDescent="0.25">
      <c r="A39">
        <v>38</v>
      </c>
      <c r="B39" t="s">
        <v>146</v>
      </c>
      <c r="C39" t="s">
        <v>40</v>
      </c>
      <c r="D39" s="1" t="d">
        <v>2017-12-20T11:53:26.99999991338699850</v>
      </c>
      <c r="E39" s="1" t="d">
        <v>2017-12-20T12:27:56.9999997457489350</v>
      </c>
      <c r="F39" t="s">
        <v>147</v>
      </c>
      <c r="G39">
        <v>4</v>
      </c>
      <c r="H39">
        <v>1</v>
      </c>
      <c r="I39">
        <v>1</v>
      </c>
      <c r="J39">
        <v>1</v>
      </c>
      <c r="K39">
        <v>1</v>
      </c>
      <c r="L39">
        <v>5</v>
      </c>
      <c r="M39">
        <v>5</v>
      </c>
      <c r="N39">
        <v>2</v>
      </c>
      <c r="O39" s="2">
        <v>2</v>
      </c>
      <c r="P39" s="2">
        <v>3</v>
      </c>
      <c r="Q39" s="2">
        <v>4</v>
      </c>
      <c r="R39">
        <v>4</v>
      </c>
      <c r="S39">
        <v>4</v>
      </c>
      <c r="T39">
        <v>4</v>
      </c>
      <c r="U39" s="1" t="d">
        <v>2018-05-17T10:43:03.99999970570206450</v>
      </c>
      <c r="V39" s="1" t="d">
        <v>2018-05-17T11:37:07.99999988637864900</v>
      </c>
      <c r="W39" t="s">
        <v>148</v>
      </c>
      <c r="X39">
        <v>3</v>
      </c>
      <c r="Y39">
        <v>1</v>
      </c>
      <c r="Z39">
        <v>1</v>
      </c>
      <c r="AA39">
        <v>4</v>
      </c>
      <c r="AB39">
        <v>4</v>
      </c>
      <c r="AC39">
        <v>4</v>
      </c>
      <c r="AD39">
        <v>4</v>
      </c>
      <c r="AE39">
        <v>3</v>
      </c>
      <c r="AF39" s="2">
        <v>2</v>
      </c>
      <c r="AG39" s="2">
        <v>2</v>
      </c>
      <c r="AH39" s="2">
        <v>4</v>
      </c>
      <c r="AI39">
        <v>4</v>
      </c>
      <c r="AJ39">
        <v>5</v>
      </c>
      <c r="AK39">
        <v>5</v>
      </c>
      <c r="AY39">
        <v>43.968178592999998</v>
      </c>
      <c r="AZ39">
        <v>35.843614620499999</v>
      </c>
      <c r="BA39">
        <v>29.988916632500001</v>
      </c>
      <c r="BB39">
        <v>46.744434349999999</v>
      </c>
    </row>
    <row r="40" spans="1:54" x14ac:dyDescent="0.25">
      <c r="A40">
        <v>39</v>
      </c>
      <c r="B40" t="s">
        <v>149</v>
      </c>
      <c r="C40" t="s">
        <v>40</v>
      </c>
      <c r="D40" s="1" t="d">
        <v>2018-01-16T13:42:28.99999969638884100</v>
      </c>
      <c r="E40" s="1" t="d">
        <v>2018-01-16T14:04:34.000000138767063900</v>
      </c>
      <c r="F40" t="s">
        <v>150</v>
      </c>
      <c r="G40">
        <v>2</v>
      </c>
      <c r="H40">
        <v>1</v>
      </c>
      <c r="I40">
        <v>1</v>
      </c>
      <c r="J40">
        <v>1</v>
      </c>
      <c r="K40">
        <v>1</v>
      </c>
      <c r="L40">
        <v>4</v>
      </c>
      <c r="M40">
        <v>3</v>
      </c>
      <c r="N40">
        <v>2</v>
      </c>
      <c r="O40" s="2">
        <v>1</v>
      </c>
      <c r="P40" s="2">
        <v>1</v>
      </c>
      <c r="Q40" s="2">
        <v>5</v>
      </c>
      <c r="R40">
        <v>5</v>
      </c>
      <c r="S40">
        <v>3</v>
      </c>
      <c r="T40">
        <v>3</v>
      </c>
      <c r="U40" s="1" t="d">
        <v>2018-05-31T09:03:06.00000010337680650</v>
      </c>
      <c r="V40" s="1" t="d">
        <v>2018-05-31T09:28:23.99999977089464925</v>
      </c>
      <c r="W40" t="s">
        <v>151</v>
      </c>
      <c r="X40">
        <v>3</v>
      </c>
      <c r="Y40">
        <v>1</v>
      </c>
      <c r="Z40">
        <v>1</v>
      </c>
      <c r="AA40">
        <v>2</v>
      </c>
      <c r="AB40">
        <v>1</v>
      </c>
      <c r="AC40">
        <v>2</v>
      </c>
      <c r="AD40">
        <v>1</v>
      </c>
      <c r="AE40">
        <v>1</v>
      </c>
      <c r="AF40" s="2">
        <v>2</v>
      </c>
      <c r="AG40" s="2">
        <v>2</v>
      </c>
      <c r="AH40" s="2">
        <v>4</v>
      </c>
      <c r="AI40">
        <v>3</v>
      </c>
      <c r="AJ40">
        <v>3</v>
      </c>
      <c r="AK40">
        <v>4</v>
      </c>
      <c r="AY40">
        <v>44.225908894500002</v>
      </c>
      <c r="AZ40">
        <v>53.675757714</v>
      </c>
      <c r="BA40">
        <v>40.418788405000001</v>
      </c>
      <c r="BB40">
        <v>52.103669359999998</v>
      </c>
    </row>
    <row r="41" spans="1:54" x14ac:dyDescent="0.25">
      <c r="A41">
        <v>40</v>
      </c>
      <c r="B41" t="s">
        <v>152</v>
      </c>
      <c r="C41" t="s">
        <v>40</v>
      </c>
      <c r="D41" s="1" t="d">
        <v>2018-01-25T09:08:32.00000024400651375</v>
      </c>
      <c r="E41" s="1" t="d">
        <v>2018-01-25T09:36:28.99999998975544875</v>
      </c>
      <c r="F41" t="s">
        <v>153</v>
      </c>
      <c r="G41">
        <v>2</v>
      </c>
      <c r="H41">
        <v>2</v>
      </c>
      <c r="I41">
        <v>3</v>
      </c>
      <c r="J41">
        <v>4</v>
      </c>
      <c r="K41">
        <v>4</v>
      </c>
      <c r="L41">
        <v>4</v>
      </c>
      <c r="M41">
        <v>4</v>
      </c>
      <c r="N41">
        <v>4</v>
      </c>
      <c r="O41" s="2">
        <v>1</v>
      </c>
      <c r="P41" s="2">
        <v>1</v>
      </c>
      <c r="Q41" s="2">
        <v>5</v>
      </c>
      <c r="R41">
        <v>5</v>
      </c>
      <c r="S41">
        <v>2</v>
      </c>
      <c r="T41">
        <v>2</v>
      </c>
      <c r="U41" s="1" t="d">
        <v>2018-06-18T16:11:46.99999972712248800</v>
      </c>
      <c r="V41" s="1" t="d">
        <v>2018-06-18T16:46:44.99999981839210125</v>
      </c>
      <c r="W41" t="s">
        <v>154</v>
      </c>
      <c r="X41">
        <v>3</v>
      </c>
      <c r="Y41">
        <v>2</v>
      </c>
      <c r="Z41">
        <v>2</v>
      </c>
      <c r="AA41">
        <v>3</v>
      </c>
      <c r="AB41">
        <v>2</v>
      </c>
      <c r="AC41">
        <v>2</v>
      </c>
      <c r="AD41">
        <v>1</v>
      </c>
      <c r="AE41">
        <v>3</v>
      </c>
      <c r="AF41" s="2">
        <v>4</v>
      </c>
      <c r="AG41" s="2">
        <v>3</v>
      </c>
      <c r="AH41" s="2">
        <v>2</v>
      </c>
      <c r="AI41">
        <v>2</v>
      </c>
      <c r="AJ41">
        <v>4</v>
      </c>
      <c r="AK41">
        <v>4</v>
      </c>
      <c r="AY41">
        <v>38.131803334499999</v>
      </c>
      <c r="AZ41">
        <v>51.676800491500003</v>
      </c>
      <c r="BA41">
        <v>40.185100395500001</v>
      </c>
      <c r="BB41">
        <v>36.759717346499997</v>
      </c>
    </row>
    <row r="42" spans="1:54" x14ac:dyDescent="0.25">
      <c r="A42">
        <v>41</v>
      </c>
      <c r="B42" t="s">
        <v>155</v>
      </c>
      <c r="C42" t="s">
        <v>40</v>
      </c>
      <c r="D42" s="1" t="d">
        <v>2018-01-19T18:58:46.00000009406358300</v>
      </c>
      <c r="E42" s="1" t="d">
        <v>2018-01-19T19:30:38.000000081956386375</v>
      </c>
      <c r="F42" t="s">
        <v>156</v>
      </c>
      <c r="G42">
        <v>2</v>
      </c>
      <c r="H42">
        <v>2</v>
      </c>
      <c r="I42">
        <v>2</v>
      </c>
      <c r="J42">
        <v>3</v>
      </c>
      <c r="K42">
        <v>3</v>
      </c>
      <c r="L42">
        <v>3</v>
      </c>
      <c r="M42">
        <v>3</v>
      </c>
      <c r="N42">
        <v>3</v>
      </c>
      <c r="O42" s="2">
        <v>2</v>
      </c>
      <c r="P42" s="2">
        <v>2</v>
      </c>
      <c r="Q42" s="2">
        <v>5</v>
      </c>
      <c r="R42">
        <v>3</v>
      </c>
      <c r="S42">
        <v>3</v>
      </c>
      <c r="T42">
        <v>2</v>
      </c>
      <c r="U42" s="1" t="d">
        <v>2018-07-05T05:27:31.99999976903200050</v>
      </c>
      <c r="V42" s="1" t="d">
        <v>2018-07-06T10:43:33.00000019837171050</v>
      </c>
      <c r="W42" t="s">
        <v>157</v>
      </c>
      <c r="X42">
        <v>3</v>
      </c>
      <c r="Y42">
        <v>2</v>
      </c>
      <c r="Z42">
        <v>3</v>
      </c>
      <c r="AA42">
        <v>1</v>
      </c>
      <c r="AB42">
        <v>1</v>
      </c>
      <c r="AC42">
        <v>1</v>
      </c>
      <c r="AD42">
        <v>1</v>
      </c>
      <c r="AE42">
        <v>1</v>
      </c>
      <c r="AF42" s="2">
        <v>3</v>
      </c>
      <c r="AG42" s="2">
        <v>2</v>
      </c>
      <c r="AH42" s="2">
        <v>5</v>
      </c>
      <c r="AI42">
        <v>3</v>
      </c>
      <c r="AJ42">
        <v>2</v>
      </c>
      <c r="AK42">
        <v>2</v>
      </c>
      <c r="AY42">
        <v>39.157362622500003</v>
      </c>
      <c r="AZ42">
        <v>47.584306900999998</v>
      </c>
      <c r="BA42">
        <v>51.28908105</v>
      </c>
      <c r="BB42">
        <v>50.508245774999999</v>
      </c>
    </row>
    <row r="43" spans="1:54" x14ac:dyDescent="0.25">
      <c r="A43">
        <v>42</v>
      </c>
      <c r="B43" t="s">
        <v>158</v>
      </c>
      <c r="C43" t="s">
        <v>40</v>
      </c>
      <c r="D43" s="1" t="d">
        <v>2018-02-06T07:05:22.00000025331973725</v>
      </c>
      <c r="E43" s="1" t="d">
        <v>2018-02-06T07:36:31.99999985285103225</v>
      </c>
      <c r="F43" t="s">
        <v>159</v>
      </c>
      <c r="G43">
        <v>3</v>
      </c>
      <c r="H43">
        <v>1</v>
      </c>
      <c r="I43">
        <v>1</v>
      </c>
      <c r="J43">
        <v>1</v>
      </c>
      <c r="K43">
        <v>1</v>
      </c>
      <c r="L43">
        <v>5</v>
      </c>
      <c r="M43">
        <v>5</v>
      </c>
      <c r="N43">
        <v>1</v>
      </c>
      <c r="O43" s="2">
        <v>2</v>
      </c>
      <c r="P43" s="2">
        <v>1</v>
      </c>
      <c r="Q43" s="2">
        <v>6</v>
      </c>
      <c r="R43">
        <v>5</v>
      </c>
      <c r="S43">
        <v>3</v>
      </c>
      <c r="T43">
        <v>2</v>
      </c>
      <c r="U43" s="1" t="d">
        <v>2018-07-12T13:16:55.00000006053596625</v>
      </c>
      <c r="V43" s="1" t="d">
        <v>2018-07-12T13:55:18.0000002961605775</v>
      </c>
      <c r="W43" t="s">
        <v>160</v>
      </c>
      <c r="X43">
        <v>3</v>
      </c>
      <c r="Y43">
        <v>1</v>
      </c>
      <c r="Z43">
        <v>1</v>
      </c>
      <c r="AA43">
        <v>1</v>
      </c>
      <c r="AB43">
        <v>1</v>
      </c>
      <c r="AC43">
        <v>3</v>
      </c>
      <c r="AD43">
        <v>3</v>
      </c>
      <c r="AE43">
        <v>1</v>
      </c>
      <c r="AF43" s="2">
        <v>4</v>
      </c>
      <c r="AG43" s="2">
        <v>3</v>
      </c>
      <c r="AH43" s="2">
        <v>2</v>
      </c>
      <c r="AI43">
        <v>3</v>
      </c>
      <c r="AJ43">
        <v>3</v>
      </c>
      <c r="AK43">
        <v>4</v>
      </c>
      <c r="AY43">
        <v>48.453365187000003</v>
      </c>
      <c r="AZ43">
        <v>46.678009273999997</v>
      </c>
      <c r="BA43">
        <v>48.496229088</v>
      </c>
      <c r="BB43">
        <v>32.523523214000001</v>
      </c>
    </row>
    <row r="44" spans="1:54" x14ac:dyDescent="0.25">
      <c r="A44">
        <v>43</v>
      </c>
      <c r="B44" t="s">
        <v>161</v>
      </c>
      <c r="C44" t="s">
        <v>40</v>
      </c>
      <c r="D44" s="1" t="d">
        <v>2018-02-08T04:11:38.99999974295497200</v>
      </c>
      <c r="E44" s="1" t="d">
        <v>2018-02-08T05:23:08.00000029150396575</v>
      </c>
      <c r="F44" t="s">
        <v>162</v>
      </c>
      <c r="G44">
        <v>3</v>
      </c>
      <c r="H44">
        <v>1</v>
      </c>
      <c r="I44">
        <v>2</v>
      </c>
      <c r="J44">
        <v>1</v>
      </c>
      <c r="K44">
        <v>1</v>
      </c>
      <c r="L44">
        <v>2</v>
      </c>
      <c r="M44">
        <v>2</v>
      </c>
      <c r="N44">
        <v>3</v>
      </c>
      <c r="O44" s="2">
        <v>3</v>
      </c>
      <c r="P44" s="2">
        <v>3</v>
      </c>
      <c r="Q44" s="2">
        <v>4</v>
      </c>
      <c r="R44">
        <v>3</v>
      </c>
      <c r="S44">
        <v>2</v>
      </c>
      <c r="T44">
        <v>3</v>
      </c>
      <c r="U44" s="1" t="d">
        <v>2018-07-16T20:03:37.00000001583248400</v>
      </c>
      <c r="V44" s="1" t="d">
        <v>2018-07-16T20:44:30.99999971687793675</v>
      </c>
      <c r="W44" t="s">
        <v>163</v>
      </c>
      <c r="X44">
        <v>2</v>
      </c>
      <c r="Y44">
        <v>2</v>
      </c>
      <c r="Z44">
        <v>2</v>
      </c>
      <c r="AA44">
        <v>2</v>
      </c>
      <c r="AB44">
        <v>5</v>
      </c>
      <c r="AC44">
        <v>4</v>
      </c>
      <c r="AD44">
        <v>2</v>
      </c>
      <c r="AE44">
        <v>5</v>
      </c>
      <c r="AF44" s="2">
        <v>4</v>
      </c>
      <c r="AG44" s="2">
        <v>1</v>
      </c>
      <c r="AH44" s="2">
        <v>4</v>
      </c>
      <c r="AI44">
        <v>1</v>
      </c>
      <c r="AJ44">
        <v>2</v>
      </c>
      <c r="AK44">
        <v>4</v>
      </c>
      <c r="AY44">
        <v>40.309877002999997</v>
      </c>
      <c r="AZ44">
        <v>45.5155218795</v>
      </c>
      <c r="BA44">
        <v>34.309206919499999</v>
      </c>
      <c r="BB44">
        <v>36.856758857499997</v>
      </c>
    </row>
    <row r="45" spans="1:54" x14ac:dyDescent="0.25">
      <c r="A45">
        <v>44</v>
      </c>
      <c r="B45" t="s">
        <v>164</v>
      </c>
      <c r="C45" t="s">
        <v>40</v>
      </c>
      <c r="D45" s="1" t="d">
        <v>2018-02-18T22:18:17.9999999748542925</v>
      </c>
      <c r="E45" s="1" t="d">
        <v>2018-02-18T22:41:46.999999936670064675</v>
      </c>
      <c r="F45" t="s">
        <v>165</v>
      </c>
      <c r="G45">
        <v>1</v>
      </c>
      <c r="H45">
        <v>2</v>
      </c>
      <c r="I45">
        <v>3</v>
      </c>
      <c r="J45">
        <v>3</v>
      </c>
      <c r="K45">
        <v>2</v>
      </c>
      <c r="L45">
        <v>4</v>
      </c>
      <c r="M45">
        <v>4</v>
      </c>
      <c r="N45">
        <v>3</v>
      </c>
      <c r="O45" s="2">
        <v>2</v>
      </c>
      <c r="P45" s="2">
        <v>1</v>
      </c>
      <c r="Q45" s="2">
        <v>4</v>
      </c>
      <c r="R45">
        <v>4</v>
      </c>
      <c r="S45">
        <v>2</v>
      </c>
      <c r="T45">
        <v>3</v>
      </c>
      <c r="U45" s="1" t="d">
        <v>2018-07-25T17:23:29.00000017136335425</v>
      </c>
      <c r="V45" s="1" t="d">
        <v>2018-07-25T18:19:33.99999971967190650</v>
      </c>
      <c r="W45" t="s">
        <v>166</v>
      </c>
      <c r="X45">
        <v>4</v>
      </c>
      <c r="Y45">
        <v>2</v>
      </c>
      <c r="Z45">
        <v>2</v>
      </c>
      <c r="AA45">
        <v>3</v>
      </c>
      <c r="AB45">
        <v>3</v>
      </c>
      <c r="AC45">
        <v>2</v>
      </c>
      <c r="AD45">
        <v>2</v>
      </c>
      <c r="AE45">
        <v>2</v>
      </c>
      <c r="AF45" s="2">
        <v>5</v>
      </c>
      <c r="AG45" s="2">
        <v>4</v>
      </c>
      <c r="AH45" s="2">
        <v>2</v>
      </c>
      <c r="AI45">
        <v>2</v>
      </c>
      <c r="AJ45">
        <v>3</v>
      </c>
      <c r="AK45">
        <v>5</v>
      </c>
      <c r="AY45">
        <v>49.955357728499997</v>
      </c>
      <c r="AZ45">
        <v>41.301744651999996</v>
      </c>
      <c r="BA45">
        <v>40.779891861000003</v>
      </c>
      <c r="BB45">
        <v>31.191115365999998</v>
      </c>
    </row>
    <row r="46" spans="1:54" x14ac:dyDescent="0.25">
      <c r="A46">
        <v>45</v>
      </c>
      <c r="B46" t="s">
        <v>167</v>
      </c>
      <c r="C46" t="s">
        <v>40</v>
      </c>
      <c r="D46" s="1" t="d">
        <v>2018-02-12T19:34:06.00000029895454725</v>
      </c>
      <c r="E46" s="1" t="d">
        <v>2018-03-13T22:17:26.99999999720603025</v>
      </c>
      <c r="F46" t="s">
        <v>168</v>
      </c>
      <c r="G46">
        <v>4</v>
      </c>
      <c r="H46">
        <v>1</v>
      </c>
      <c r="I46">
        <v>2</v>
      </c>
      <c r="J46">
        <v>4</v>
      </c>
      <c r="K46">
        <v>1</v>
      </c>
      <c r="L46">
        <v>5</v>
      </c>
      <c r="M46">
        <v>1</v>
      </c>
      <c r="N46">
        <v>2</v>
      </c>
      <c r="O46" s="2">
        <v>5</v>
      </c>
      <c r="P46" s="2">
        <v>4</v>
      </c>
      <c r="Q46" s="2">
        <v>2</v>
      </c>
      <c r="R46">
        <v>2</v>
      </c>
      <c r="S46">
        <v>3</v>
      </c>
      <c r="T46">
        <v>5</v>
      </c>
      <c r="AY46">
        <v>42.955098561</v>
      </c>
      <c r="AZ46">
        <v>24.8831256235</v>
      </c>
    </row>
    <row r="47" spans="1:54" x14ac:dyDescent="0.25">
      <c r="A47">
        <v>46</v>
      </c>
      <c r="B47" t="s">
        <v>169</v>
      </c>
      <c r="C47" t="s">
        <v>40</v>
      </c>
      <c r="D47" s="1" t="d">
        <v>2018-02-22T10:51:35.99999994970857825</v>
      </c>
      <c r="E47" s="1" t="d">
        <v>2018-02-22T12:26:01.00000028964132375</v>
      </c>
      <c r="F47" t="s">
        <v>170</v>
      </c>
      <c r="G47">
        <v>1</v>
      </c>
      <c r="H47">
        <v>2</v>
      </c>
      <c r="I47">
        <v>2</v>
      </c>
      <c r="J47">
        <v>4</v>
      </c>
      <c r="K47">
        <v>3</v>
      </c>
      <c r="L47">
        <v>4</v>
      </c>
      <c r="M47">
        <v>4</v>
      </c>
      <c r="N47">
        <v>3</v>
      </c>
      <c r="O47" s="2">
        <v>2</v>
      </c>
      <c r="P47" s="2">
        <v>1</v>
      </c>
      <c r="Q47" s="2">
        <v>4</v>
      </c>
      <c r="R47">
        <v>2</v>
      </c>
      <c r="S47">
        <v>3</v>
      </c>
      <c r="T47">
        <v>2</v>
      </c>
      <c r="AY47">
        <v>42.336767843499999</v>
      </c>
      <c r="AZ47">
        <v>38.697573017000003</v>
      </c>
    </row>
    <row r="48" spans="1:54" x14ac:dyDescent="0.25">
      <c r="A48">
        <v>47</v>
      </c>
      <c r="B48" t="s">
        <v>171</v>
      </c>
      <c r="C48" t="s">
        <v>111</v>
      </c>
      <c r="D48" s="1" t="d">
        <v>2018-02-18T09:30:35.99999982398003400</v>
      </c>
      <c r="E48" s="1" t="d">
        <v>2018-02-18T10:07:07.99999988637864900</v>
      </c>
      <c r="F48" t="s">
        <v>172</v>
      </c>
      <c r="G48">
        <v>2</v>
      </c>
      <c r="H48">
        <v>2</v>
      </c>
      <c r="I48">
        <v>3</v>
      </c>
      <c r="J48">
        <v>3</v>
      </c>
      <c r="K48">
        <v>3</v>
      </c>
      <c r="L48">
        <v>5</v>
      </c>
      <c r="M48">
        <v>3</v>
      </c>
      <c r="N48">
        <v>3</v>
      </c>
      <c r="O48" s="2">
        <v>2</v>
      </c>
      <c r="P48" s="2">
        <v>1</v>
      </c>
      <c r="Q48" s="2">
        <v>6</v>
      </c>
      <c r="R48">
        <v>5</v>
      </c>
      <c r="S48">
        <v>3</v>
      </c>
      <c r="T48">
        <v>2</v>
      </c>
      <c r="U48" s="1" t="d">
        <v>2018-08-25T16:22:48.99999983143061550</v>
      </c>
      <c r="V48" s="1" t="d">
        <v>2018-08-25T22:05:51.00000011734664175</v>
      </c>
      <c r="W48" t="s">
        <v>173</v>
      </c>
      <c r="X48">
        <v>3</v>
      </c>
      <c r="Y48">
        <v>2</v>
      </c>
      <c r="Z48">
        <v>3</v>
      </c>
      <c r="AA48">
        <v>3</v>
      </c>
      <c r="AB48">
        <v>2</v>
      </c>
      <c r="AC48">
        <v>3</v>
      </c>
      <c r="AD48">
        <v>2</v>
      </c>
      <c r="AE48">
        <v>3</v>
      </c>
      <c r="AF48" s="2">
        <v>2</v>
      </c>
      <c r="AG48" s="2">
        <v>1</v>
      </c>
      <c r="AH48" s="2">
        <v>5</v>
      </c>
      <c r="AI48">
        <v>3</v>
      </c>
      <c r="AJ48">
        <v>3</v>
      </c>
      <c r="AK48">
        <v>4</v>
      </c>
      <c r="AY48">
        <v>45.5416976745</v>
      </c>
      <c r="AZ48">
        <v>49.475937494</v>
      </c>
      <c r="BA48">
        <v>42.589369171999998</v>
      </c>
      <c r="BB48">
        <v>48.822393900500003</v>
      </c>
    </row>
    <row r="49" spans="1:54" x14ac:dyDescent="0.25">
      <c r="A49">
        <v>48</v>
      </c>
      <c r="B49" t="s">
        <v>174</v>
      </c>
      <c r="C49" t="s">
        <v>40</v>
      </c>
      <c r="D49" s="1" t="d">
        <v>2018-02-28T18:04:35.00000016298145175</v>
      </c>
      <c r="E49" s="1" t="d">
        <v>2018-03-02T09:47:40.00000031199306150</v>
      </c>
      <c r="F49" t="s">
        <v>175</v>
      </c>
      <c r="G49">
        <v>4</v>
      </c>
      <c r="H49">
        <v>1</v>
      </c>
      <c r="I49">
        <v>2</v>
      </c>
      <c r="J49">
        <v>2</v>
      </c>
      <c r="K49">
        <v>2</v>
      </c>
      <c r="L49">
        <v>5</v>
      </c>
      <c r="M49">
        <v>4</v>
      </c>
      <c r="N49">
        <v>3</v>
      </c>
      <c r="O49" s="2">
        <v>2</v>
      </c>
      <c r="P49" s="2">
        <v>4</v>
      </c>
      <c r="Q49" s="2">
        <v>4</v>
      </c>
      <c r="R49">
        <v>4</v>
      </c>
      <c r="S49">
        <v>3</v>
      </c>
      <c r="T49">
        <v>4</v>
      </c>
      <c r="U49" s="1" t="d">
        <v>2018-09-26T13:34:43.99999975226819550</v>
      </c>
      <c r="V49" s="1" t="d">
        <v>2018-09-26T15:24:59.00000025518238600</v>
      </c>
      <c r="W49" t="s">
        <v>176</v>
      </c>
      <c r="X49">
        <v>4</v>
      </c>
      <c r="Y49">
        <v>1</v>
      </c>
      <c r="Z49">
        <v>1</v>
      </c>
      <c r="AA49">
        <v>5</v>
      </c>
      <c r="AB49">
        <v>1</v>
      </c>
      <c r="AC49">
        <v>4</v>
      </c>
      <c r="AD49">
        <v>3</v>
      </c>
      <c r="AE49">
        <v>2</v>
      </c>
      <c r="AF49" s="2">
        <v>3</v>
      </c>
      <c r="AG49" s="2">
        <v>2</v>
      </c>
      <c r="AH49" s="2">
        <v>4</v>
      </c>
      <c r="AI49">
        <v>4</v>
      </c>
      <c r="AJ49">
        <v>3</v>
      </c>
      <c r="AK49">
        <v>4</v>
      </c>
      <c r="AY49">
        <v>39.308210580999997</v>
      </c>
      <c r="AZ49">
        <v>36.752951365999998</v>
      </c>
      <c r="BA49">
        <v>35.192608370000002</v>
      </c>
      <c r="BB49">
        <v>44.772107566499997</v>
      </c>
    </row>
    <row r="50" spans="1:54" x14ac:dyDescent="0.25">
      <c r="A50">
        <v>49</v>
      </c>
      <c r="B50" t="s">
        <v>177</v>
      </c>
      <c r="C50" t="s">
        <v>40</v>
      </c>
      <c r="D50" s="1" t="d">
        <v>2018-03-30T09:02:00.99999999627470925</v>
      </c>
      <c r="E50" s="1" t="d">
        <v>2018-03-30T11:21:10.99999997299164375</v>
      </c>
      <c r="F50" t="s">
        <v>178</v>
      </c>
      <c r="G50">
        <v>2</v>
      </c>
      <c r="H50">
        <v>2</v>
      </c>
      <c r="I50">
        <v>1</v>
      </c>
      <c r="J50">
        <v>5</v>
      </c>
      <c r="K50">
        <v>4</v>
      </c>
      <c r="L50">
        <v>5</v>
      </c>
      <c r="M50">
        <v>5</v>
      </c>
      <c r="N50">
        <v>4</v>
      </c>
      <c r="O50" s="2">
        <v>1</v>
      </c>
      <c r="P50" s="2">
        <v>1</v>
      </c>
      <c r="Q50" s="2">
        <v>6</v>
      </c>
      <c r="R50">
        <v>5</v>
      </c>
      <c r="S50">
        <v>3</v>
      </c>
      <c r="T50">
        <v>3</v>
      </c>
      <c r="AY50">
        <v>30.035176184499999</v>
      </c>
      <c r="AZ50">
        <v>53.262468579999997</v>
      </c>
    </row>
    <row r="51" spans="1:54" x14ac:dyDescent="0.25">
      <c r="A51">
        <v>50</v>
      </c>
      <c r="B51" t="s">
        <v>179</v>
      </c>
      <c r="C51" t="s">
        <v>40</v>
      </c>
      <c r="D51" s="1" t="d">
        <v>2018-02-22T19:57:02.9999996954575200</v>
      </c>
      <c r="E51" s="1" t="d">
        <v>2018-02-22T20:39:10.00000011641532075</v>
      </c>
      <c r="F51" t="s">
        <v>180</v>
      </c>
      <c r="G51">
        <v>2</v>
      </c>
      <c r="H51">
        <v>3</v>
      </c>
      <c r="I51">
        <v>3</v>
      </c>
      <c r="J51">
        <v>5</v>
      </c>
      <c r="K51">
        <v>5</v>
      </c>
      <c r="L51">
        <v>5</v>
      </c>
      <c r="M51">
        <v>5</v>
      </c>
      <c r="N51">
        <v>5</v>
      </c>
      <c r="O51" s="2">
        <v>1</v>
      </c>
      <c r="P51" s="2">
        <v>1</v>
      </c>
      <c r="Q51" s="2">
        <v>6</v>
      </c>
      <c r="R51">
        <v>5</v>
      </c>
      <c r="S51">
        <v>2</v>
      </c>
      <c r="T51">
        <v>1</v>
      </c>
      <c r="AY51">
        <v>35.568764114499999</v>
      </c>
      <c r="AZ51">
        <v>49.555412105000002</v>
      </c>
    </row>
    <row r="52" spans="1:54" x14ac:dyDescent="0.25">
      <c r="A52">
        <v>51</v>
      </c>
      <c r="B52" t="s">
        <v>181</v>
      </c>
      <c r="C52" t="s">
        <v>40</v>
      </c>
      <c r="D52" s="1" t="d">
        <v>2018-03-27T14:33:28.00000000745058150</v>
      </c>
      <c r="E52" s="1" t="d">
        <v>2018-03-27T15:03:46.00000002421438650</v>
      </c>
      <c r="F52" t="s">
        <v>182</v>
      </c>
      <c r="G52">
        <v>4</v>
      </c>
      <c r="H52">
        <v>1</v>
      </c>
      <c r="I52">
        <v>1</v>
      </c>
      <c r="J52">
        <v>1</v>
      </c>
      <c r="K52">
        <v>2</v>
      </c>
      <c r="L52">
        <v>1</v>
      </c>
      <c r="M52">
        <v>1</v>
      </c>
      <c r="N52">
        <v>3</v>
      </c>
      <c r="O52" s="2">
        <v>3</v>
      </c>
      <c r="P52" s="2">
        <v>3</v>
      </c>
      <c r="Q52" s="2">
        <v>1</v>
      </c>
      <c r="R52">
        <v>2</v>
      </c>
      <c r="S52">
        <v>2</v>
      </c>
      <c r="T52">
        <v>2</v>
      </c>
      <c r="U52" s="1" t="d">
        <v>2018-08-31T09:05:15.00000008381903175</v>
      </c>
      <c r="V52" s="1" t="d">
        <v>2018-09-01T11:07:02.00000016018748200</v>
      </c>
      <c r="W52" t="s">
        <v>183</v>
      </c>
      <c r="X52">
        <v>4</v>
      </c>
      <c r="Y52">
        <v>2</v>
      </c>
      <c r="Z52">
        <v>3</v>
      </c>
      <c r="AA52">
        <v>1</v>
      </c>
      <c r="AB52">
        <v>1</v>
      </c>
      <c r="AC52">
        <v>1</v>
      </c>
      <c r="AD52">
        <v>1</v>
      </c>
      <c r="AE52">
        <v>4</v>
      </c>
      <c r="AF52" s="2">
        <v>6</v>
      </c>
      <c r="AG52" s="2">
        <v>1</v>
      </c>
      <c r="AH52" s="2">
        <v>1</v>
      </c>
      <c r="AI52">
        <v>2</v>
      </c>
      <c r="AJ52">
        <v>3</v>
      </c>
      <c r="AK52">
        <v>3</v>
      </c>
      <c r="AY52">
        <v>33.597729307999998</v>
      </c>
      <c r="AZ52">
        <v>41.245474366499998</v>
      </c>
      <c r="BA52">
        <v>46.582494492000002</v>
      </c>
      <c r="BB52">
        <v>32.518381927500002</v>
      </c>
    </row>
    <row r="53" spans="1:54" x14ac:dyDescent="0.25">
      <c r="A53">
        <v>52</v>
      </c>
      <c r="B53" t="s">
        <v>184</v>
      </c>
      <c r="C53" t="s">
        <v>40</v>
      </c>
      <c r="D53" s="1" t="d">
        <v>2018-03-26T16:38:35.99999992176890100</v>
      </c>
      <c r="E53" s="1" t="d">
        <v>2018-03-28T13:58:20.99999969825148300</v>
      </c>
      <c r="F53" t="s">
        <v>185</v>
      </c>
      <c r="G53">
        <v>3</v>
      </c>
      <c r="H53">
        <v>3</v>
      </c>
      <c r="I53">
        <v>2</v>
      </c>
      <c r="J53">
        <v>3</v>
      </c>
      <c r="K53">
        <v>5</v>
      </c>
      <c r="L53">
        <v>3</v>
      </c>
      <c r="M53">
        <v>4</v>
      </c>
      <c r="N53">
        <v>4</v>
      </c>
      <c r="O53" s="2">
        <v>2</v>
      </c>
      <c r="P53" s="2">
        <v>2</v>
      </c>
      <c r="Q53" s="2">
        <v>5</v>
      </c>
      <c r="R53">
        <v>4</v>
      </c>
      <c r="S53">
        <v>2</v>
      </c>
      <c r="T53">
        <v>3</v>
      </c>
      <c r="AY53">
        <v>34.319139692500002</v>
      </c>
      <c r="AZ53">
        <v>48.366695245999999</v>
      </c>
    </row>
    <row r="54" spans="1:54" x14ac:dyDescent="0.25">
      <c r="A54">
        <v>53</v>
      </c>
      <c r="B54" t="s">
        <v>186</v>
      </c>
      <c r="C54" t="s">
        <v>40</v>
      </c>
      <c r="D54" s="1" t="d">
        <v>2018-03-29T06:48:20.99999983794986925</v>
      </c>
      <c r="E54" s="1" t="d">
        <v>2018-03-29T07:30:27.000000025145709525</v>
      </c>
      <c r="F54" t="s">
        <v>187</v>
      </c>
      <c r="G54">
        <v>2</v>
      </c>
      <c r="H54">
        <v>2</v>
      </c>
      <c r="I54">
        <v>3</v>
      </c>
      <c r="J54">
        <v>4</v>
      </c>
      <c r="K54">
        <v>4</v>
      </c>
      <c r="L54">
        <v>4</v>
      </c>
      <c r="M54">
        <v>4</v>
      </c>
      <c r="N54">
        <v>2</v>
      </c>
      <c r="O54" s="2">
        <v>4</v>
      </c>
      <c r="P54" s="2">
        <v>2</v>
      </c>
      <c r="Q54" s="2">
        <v>3</v>
      </c>
      <c r="R54">
        <v>2</v>
      </c>
      <c r="S54">
        <v>3</v>
      </c>
      <c r="T54">
        <v>2</v>
      </c>
      <c r="U54" s="1" t="d">
        <v>2018-08-24T06:30:41.99999996926635300</v>
      </c>
      <c r="V54" s="1" t="d">
        <v>2018-08-24T09:49:00.00000015366822150</v>
      </c>
      <c r="W54" t="s">
        <v>188</v>
      </c>
      <c r="X54">
        <v>2</v>
      </c>
      <c r="Y54">
        <v>2</v>
      </c>
      <c r="Z54">
        <v>3</v>
      </c>
      <c r="AA54">
        <v>3</v>
      </c>
      <c r="AB54">
        <v>4</v>
      </c>
      <c r="AC54">
        <v>3</v>
      </c>
      <c r="AD54">
        <v>2</v>
      </c>
      <c r="AE54">
        <v>4</v>
      </c>
      <c r="AF54" s="2">
        <v>3</v>
      </c>
      <c r="AG54" s="2">
        <v>2</v>
      </c>
      <c r="AH54" s="2">
        <v>4</v>
      </c>
      <c r="AI54">
        <v>3</v>
      </c>
      <c r="AJ54">
        <v>3</v>
      </c>
      <c r="AK54">
        <v>4</v>
      </c>
      <c r="AY54">
        <v>48.56465154</v>
      </c>
      <c r="AZ54">
        <v>28.387015837</v>
      </c>
      <c r="BA54">
        <v>38.804704892499998</v>
      </c>
      <c r="BB54">
        <v>44.077100926500002</v>
      </c>
    </row>
    <row r="55" spans="1:54" x14ac:dyDescent="0.25">
      <c r="A55">
        <v>54</v>
      </c>
      <c r="B55" t="s">
        <v>189</v>
      </c>
      <c r="C55" t="s">
        <v>40</v>
      </c>
      <c r="D55" s="1" t="d">
        <v>2018-04-02T07:08:25.000000284053384925</v>
      </c>
      <c r="E55" s="1" t="d">
        <v>2018-04-02T07:53:11.999999759718775650</v>
      </c>
      <c r="F55" t="s">
        <v>190</v>
      </c>
      <c r="G55">
        <v>3</v>
      </c>
      <c r="H55">
        <v>2</v>
      </c>
      <c r="I55">
        <v>2</v>
      </c>
      <c r="J55">
        <v>2</v>
      </c>
      <c r="K55">
        <v>3</v>
      </c>
      <c r="L55">
        <v>2</v>
      </c>
      <c r="M55">
        <v>2</v>
      </c>
      <c r="N55">
        <v>4</v>
      </c>
      <c r="O55" s="2">
        <v>3</v>
      </c>
      <c r="P55" s="2">
        <v>2</v>
      </c>
      <c r="Q55" s="2">
        <v>5</v>
      </c>
      <c r="R55">
        <v>4</v>
      </c>
      <c r="S55">
        <v>3</v>
      </c>
      <c r="T55">
        <v>2</v>
      </c>
      <c r="U55" s="1" t="d">
        <v>2018-10-08T17:26:37.999999718740582800</v>
      </c>
      <c r="V55" s="1" t="d">
        <v>2018-10-08T18:09:44.99999970663339225</v>
      </c>
      <c r="W55" t="s">
        <v>191</v>
      </c>
      <c r="X55">
        <v>3</v>
      </c>
      <c r="Y55">
        <v>2</v>
      </c>
      <c r="Z55">
        <v>2</v>
      </c>
      <c r="AA55">
        <v>3</v>
      </c>
      <c r="AB55">
        <v>3</v>
      </c>
      <c r="AC55">
        <v>3</v>
      </c>
      <c r="AD55">
        <v>2</v>
      </c>
      <c r="AE55">
        <v>4</v>
      </c>
      <c r="AF55" s="2">
        <v>4</v>
      </c>
      <c r="AG55" s="2">
        <v>3</v>
      </c>
      <c r="AH55" s="2">
        <v>2</v>
      </c>
      <c r="AI55">
        <v>2</v>
      </c>
      <c r="AJ55">
        <v>3</v>
      </c>
      <c r="AK55">
        <v>4</v>
      </c>
      <c r="AY55">
        <v>34.360925407499998</v>
      </c>
      <c r="AZ55">
        <v>53.302279089999999</v>
      </c>
      <c r="BA55">
        <v>37.228554285500003</v>
      </c>
      <c r="BB55">
        <v>32.796345993999999</v>
      </c>
    </row>
    <row r="56" spans="1:54" x14ac:dyDescent="0.25">
      <c r="A56">
        <v>55</v>
      </c>
      <c r="B56" t="s">
        <v>192</v>
      </c>
      <c r="C56" t="s">
        <v>40</v>
      </c>
      <c r="D56" s="1" t="d">
        <v>2018-04-17T09:42:59.00000000372529075</v>
      </c>
      <c r="E56" s="1" t="d">
        <v>2018-04-17T10:23:52.99999970477074350</v>
      </c>
      <c r="F56" t="s">
        <v>193</v>
      </c>
      <c r="G56">
        <v>2</v>
      </c>
      <c r="H56">
        <v>2</v>
      </c>
      <c r="I56">
        <v>3</v>
      </c>
      <c r="J56">
        <v>4</v>
      </c>
      <c r="K56">
        <v>4</v>
      </c>
      <c r="L56">
        <v>4</v>
      </c>
      <c r="M56">
        <v>1</v>
      </c>
      <c r="N56">
        <v>5</v>
      </c>
      <c r="O56" s="2">
        <v>1</v>
      </c>
      <c r="P56" s="2">
        <v>2</v>
      </c>
      <c r="Q56" s="2">
        <v>5</v>
      </c>
      <c r="R56">
        <v>4</v>
      </c>
      <c r="S56">
        <v>2</v>
      </c>
      <c r="T56">
        <v>1</v>
      </c>
      <c r="U56" s="1" t="d">
        <v>2018-10-10T10:57:51.00000022910535075</v>
      </c>
      <c r="V56" s="1" t="d">
        <v>2018-10-10T11:26:29.000000129453837700</v>
      </c>
      <c r="W56" t="s">
        <v>194</v>
      </c>
      <c r="X56">
        <v>2</v>
      </c>
      <c r="Y56">
        <v>3</v>
      </c>
      <c r="Z56">
        <v>3</v>
      </c>
      <c r="AA56">
        <v>4</v>
      </c>
      <c r="AB56">
        <v>5</v>
      </c>
      <c r="AC56">
        <v>5</v>
      </c>
      <c r="AD56">
        <v>5</v>
      </c>
      <c r="AE56">
        <v>5</v>
      </c>
      <c r="AF56" s="2">
        <v>1</v>
      </c>
      <c r="AG56" s="2">
        <v>1</v>
      </c>
      <c r="AH56" s="2">
        <v>6</v>
      </c>
      <c r="AI56">
        <v>5</v>
      </c>
      <c r="AJ56">
        <v>2</v>
      </c>
      <c r="AK56">
        <v>2</v>
      </c>
      <c r="AY56">
        <v>31.647638825000001</v>
      </c>
      <c r="AZ56">
        <v>54.248632964499997</v>
      </c>
      <c r="BA56">
        <v>37.3612098945</v>
      </c>
      <c r="BB56">
        <v>48.926074604999997</v>
      </c>
    </row>
    <row r="57" spans="1:54" x14ac:dyDescent="0.25">
      <c r="A57">
        <v>56</v>
      </c>
      <c r="B57" t="s">
        <v>195</v>
      </c>
      <c r="C57" t="s">
        <v>40</v>
      </c>
      <c r="D57" s="1" t="d">
        <v>2018-04-16T20:14:10.00000025611370700</v>
      </c>
      <c r="E57" s="1" t="d">
        <v>2018-04-16T22:35:21.00000022910535075</v>
      </c>
      <c r="F57" t="s">
        <v>196</v>
      </c>
      <c r="G57">
        <v>2</v>
      </c>
      <c r="H57">
        <v>1</v>
      </c>
      <c r="I57">
        <v>2</v>
      </c>
      <c r="J57">
        <v>1</v>
      </c>
      <c r="K57">
        <v>1</v>
      </c>
      <c r="L57">
        <v>5</v>
      </c>
      <c r="M57">
        <v>4</v>
      </c>
      <c r="N57">
        <v>3</v>
      </c>
      <c r="O57" s="2">
        <v>2</v>
      </c>
      <c r="P57" s="2">
        <v>2</v>
      </c>
      <c r="Q57" s="2">
        <v>5</v>
      </c>
      <c r="R57">
        <v>4</v>
      </c>
      <c r="S57">
        <v>3</v>
      </c>
      <c r="T57">
        <v>2</v>
      </c>
      <c r="U57" s="1" t="d">
        <v>2018-10-08T18:36:14.00000025518238600</v>
      </c>
      <c r="V57" s="1" t="d">
        <v>2018-10-08T19:06:29.00000019930303150</v>
      </c>
      <c r="W57" t="s">
        <v>197</v>
      </c>
      <c r="X57">
        <v>3</v>
      </c>
      <c r="Y57">
        <v>2</v>
      </c>
      <c r="Z57">
        <v>2</v>
      </c>
      <c r="AA57">
        <v>3</v>
      </c>
      <c r="AB57">
        <v>2</v>
      </c>
      <c r="AC57">
        <v>3</v>
      </c>
      <c r="AD57">
        <v>3</v>
      </c>
      <c r="AE57">
        <v>4</v>
      </c>
      <c r="AF57" s="2">
        <v>3</v>
      </c>
      <c r="AG57" s="2">
        <v>3</v>
      </c>
      <c r="AH57" s="2">
        <v>5</v>
      </c>
      <c r="AI57">
        <v>4</v>
      </c>
      <c r="AJ57">
        <v>3</v>
      </c>
      <c r="AK57">
        <v>2</v>
      </c>
      <c r="AY57">
        <v>46.998639085000001</v>
      </c>
      <c r="AZ57">
        <v>41.226175136000002</v>
      </c>
      <c r="BA57">
        <v>36.069633950499998</v>
      </c>
      <c r="BB57">
        <v>46.737806910499998</v>
      </c>
    </row>
    <row r="58" spans="1:54" x14ac:dyDescent="0.25">
      <c r="A58">
        <v>57</v>
      </c>
      <c r="B58" t="s">
        <v>198</v>
      </c>
      <c r="C58" t="s">
        <v>40</v>
      </c>
      <c r="D58" s="1" t="d">
        <v>2018-04-26T08:06:06.0000002710148700</v>
      </c>
      <c r="E58" s="1" t="d">
        <v>2018-04-26T09:39:41.99999984353780875</v>
      </c>
      <c r="F58" t="s">
        <v>199</v>
      </c>
      <c r="G58">
        <v>1</v>
      </c>
      <c r="H58">
        <v>2</v>
      </c>
      <c r="I58">
        <v>3</v>
      </c>
      <c r="J58">
        <v>3</v>
      </c>
      <c r="K58">
        <v>3</v>
      </c>
      <c r="L58">
        <v>5</v>
      </c>
      <c r="M58">
        <v>5</v>
      </c>
      <c r="N58">
        <v>2</v>
      </c>
      <c r="O58" s="2">
        <v>2</v>
      </c>
      <c r="P58" s="2">
        <v>1</v>
      </c>
      <c r="Q58" s="2">
        <v>5</v>
      </c>
      <c r="R58">
        <v>5</v>
      </c>
      <c r="S58">
        <v>4</v>
      </c>
      <c r="T58">
        <v>2</v>
      </c>
      <c r="U58" s="1" t="d">
        <v>2018-10-02T10:31:40.00000011641532075</v>
      </c>
      <c r="V58" s="1" t="d">
        <v>2018-10-02T11:40:47.00000016018748200</v>
      </c>
      <c r="W58" t="s">
        <v>200</v>
      </c>
      <c r="X58">
        <v>1</v>
      </c>
      <c r="Y58">
        <v>2</v>
      </c>
      <c r="Z58">
        <v>2</v>
      </c>
      <c r="AA58">
        <v>5</v>
      </c>
      <c r="AB58">
        <v>5</v>
      </c>
      <c r="AC58">
        <v>5</v>
      </c>
      <c r="AD58">
        <v>4</v>
      </c>
      <c r="AE58">
        <v>2</v>
      </c>
      <c r="AF58" s="2">
        <v>2</v>
      </c>
      <c r="AG58" s="2">
        <v>2</v>
      </c>
      <c r="AH58" s="2">
        <v>5</v>
      </c>
      <c r="AI58">
        <v>5</v>
      </c>
      <c r="AJ58">
        <v>3</v>
      </c>
      <c r="AK58">
        <v>2</v>
      </c>
      <c r="AY58">
        <v>52.745551075999998</v>
      </c>
      <c r="AZ58">
        <v>41.821718582999999</v>
      </c>
      <c r="BA58">
        <v>40.305043073999997</v>
      </c>
      <c r="BB58">
        <v>46.5251282535</v>
      </c>
    </row>
    <row r="59" spans="1:54" x14ac:dyDescent="0.25">
      <c r="A59">
        <v>58</v>
      </c>
      <c r="B59" t="s">
        <v>201</v>
      </c>
      <c r="C59" t="s">
        <v>40</v>
      </c>
      <c r="D59" s="1" t="d">
        <v>2018-04-18T17:47:39.99999989289790275</v>
      </c>
      <c r="E59" s="1" t="d">
        <v>2018-04-18T18:52:27.00000013690441650</v>
      </c>
      <c r="F59" t="s">
        <v>202</v>
      </c>
      <c r="G59">
        <v>1</v>
      </c>
      <c r="H59">
        <v>2</v>
      </c>
      <c r="I59">
        <v>2</v>
      </c>
      <c r="J59">
        <v>4</v>
      </c>
      <c r="K59">
        <v>2</v>
      </c>
      <c r="L59">
        <v>4</v>
      </c>
      <c r="M59">
        <v>3</v>
      </c>
      <c r="N59">
        <v>4</v>
      </c>
      <c r="O59" s="2">
        <v>2</v>
      </c>
      <c r="P59" s="2">
        <v>2</v>
      </c>
      <c r="Q59" s="2">
        <v>5</v>
      </c>
      <c r="R59">
        <v>4</v>
      </c>
      <c r="S59">
        <v>2</v>
      </c>
      <c r="T59">
        <v>4</v>
      </c>
      <c r="U59" s="1" t="d">
        <v>2018-10-03T06:05:02.99999979324638700</v>
      </c>
      <c r="V59" s="1" t="d">
        <v>2018-10-03T06:55:46.00000013597309550</v>
      </c>
      <c r="W59" t="s">
        <v>203</v>
      </c>
      <c r="X59">
        <v>3</v>
      </c>
      <c r="Y59">
        <v>3</v>
      </c>
      <c r="Z59">
        <v>1</v>
      </c>
      <c r="AA59">
        <v>1</v>
      </c>
      <c r="AB59">
        <v>1</v>
      </c>
      <c r="AC59">
        <v>2</v>
      </c>
      <c r="AD59">
        <v>1</v>
      </c>
      <c r="AE59">
        <v>2</v>
      </c>
      <c r="AF59" s="2">
        <v>5</v>
      </c>
      <c r="AG59" s="2">
        <v>4</v>
      </c>
      <c r="AH59" s="2">
        <v>2</v>
      </c>
      <c r="AI59">
        <v>1</v>
      </c>
      <c r="AJ59">
        <v>5</v>
      </c>
      <c r="AK59">
        <v>5</v>
      </c>
      <c r="AY59">
        <v>38.598381711499997</v>
      </c>
      <c r="AZ59">
        <v>47.740067613500003</v>
      </c>
      <c r="BA59">
        <v>48.618228160999998</v>
      </c>
      <c r="BB59">
        <v>27.788328396000001</v>
      </c>
    </row>
    <row r="60" spans="1:54" x14ac:dyDescent="0.25">
      <c r="A60">
        <v>59</v>
      </c>
      <c r="B60" t="s">
        <v>204</v>
      </c>
      <c r="C60" t="s">
        <v>40</v>
      </c>
      <c r="D60" s="1" t="d">
        <v>2018-05-16T20:32:08.99999977089464925</v>
      </c>
      <c r="E60" s="1" t="d">
        <v>2018-05-16T21:49:27.00000017881393575</v>
      </c>
      <c r="F60" t="s">
        <v>205</v>
      </c>
      <c r="G60">
        <v>3</v>
      </c>
      <c r="H60">
        <v>2</v>
      </c>
      <c r="I60">
        <v>2</v>
      </c>
      <c r="J60">
        <v>3</v>
      </c>
      <c r="K60">
        <v>1</v>
      </c>
      <c r="L60">
        <v>2</v>
      </c>
      <c r="M60">
        <v>1</v>
      </c>
      <c r="N60">
        <v>4</v>
      </c>
      <c r="O60" s="2">
        <v>1</v>
      </c>
      <c r="P60" s="2">
        <v>1</v>
      </c>
      <c r="Q60" s="2">
        <v>5</v>
      </c>
      <c r="R60">
        <v>4</v>
      </c>
      <c r="S60">
        <v>3</v>
      </c>
      <c r="T60">
        <v>1</v>
      </c>
      <c r="U60" s="1" t="d">
        <v>2018-10-30T14:17:04.00000006891786875</v>
      </c>
      <c r="V60" s="1" t="d">
        <v>2018-10-30T15:57:07.9999998165294525</v>
      </c>
      <c r="W60" t="s">
        <v>206</v>
      </c>
      <c r="X60">
        <v>3</v>
      </c>
      <c r="Y60">
        <v>2</v>
      </c>
      <c r="Z60">
        <v>2</v>
      </c>
      <c r="AA60">
        <v>1</v>
      </c>
      <c r="AB60">
        <v>4</v>
      </c>
      <c r="AC60">
        <v>4</v>
      </c>
      <c r="AD60">
        <v>4</v>
      </c>
      <c r="AE60">
        <v>4</v>
      </c>
      <c r="AF60" s="2">
        <v>3</v>
      </c>
      <c r="AG60" s="2">
        <v>2</v>
      </c>
      <c r="AH60" s="2">
        <v>3</v>
      </c>
      <c r="AI60">
        <v>4</v>
      </c>
      <c r="AJ60">
        <v>3</v>
      </c>
      <c r="AK60">
        <v>4</v>
      </c>
      <c r="AY60">
        <v>34.372367714500001</v>
      </c>
      <c r="AZ60">
        <v>60.485696676499998</v>
      </c>
      <c r="BA60">
        <v>40.9273738825</v>
      </c>
      <c r="BB60">
        <v>36.936168803000001</v>
      </c>
    </row>
    <row r="61" spans="1:54" x14ac:dyDescent="0.25">
      <c r="A61">
        <v>60</v>
      </c>
      <c r="B61" t="s">
        <v>207</v>
      </c>
      <c r="C61" t="s">
        <v>40</v>
      </c>
      <c r="D61" s="1" t="d">
        <v>2018-05-13T14:07:07.00000007171183850</v>
      </c>
      <c r="E61" s="1" t="d">
        <v>2018-05-13T14:57:17.00000024400651375</v>
      </c>
      <c r="F61" t="s">
        <v>208</v>
      </c>
      <c r="G61">
        <v>2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4</v>
      </c>
      <c r="O61" s="2">
        <v>4</v>
      </c>
      <c r="P61" s="2">
        <v>3</v>
      </c>
      <c r="Q61" s="2">
        <v>2</v>
      </c>
      <c r="R61">
        <v>3</v>
      </c>
      <c r="S61">
        <v>5</v>
      </c>
      <c r="T61">
        <v>5</v>
      </c>
      <c r="U61" s="1" t="d">
        <v>2018-11-04T18:43:18.00000004470348225</v>
      </c>
      <c r="V61" s="1" t="d">
        <v>2018-11-04T20:01:31.99999971315264600</v>
      </c>
      <c r="W61" t="s">
        <v>209</v>
      </c>
      <c r="X61">
        <v>4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3</v>
      </c>
      <c r="AF61" s="2">
        <v>3</v>
      </c>
      <c r="AG61" s="2">
        <v>6</v>
      </c>
      <c r="AH61" s="2">
        <v>5</v>
      </c>
      <c r="AI61">
        <v>3</v>
      </c>
      <c r="AJ61">
        <v>5</v>
      </c>
      <c r="AK61">
        <v>5</v>
      </c>
      <c r="AY61">
        <v>35.911060030500003</v>
      </c>
      <c r="AZ61">
        <v>44.706400569000003</v>
      </c>
      <c r="BA61">
        <v>29.4996950745</v>
      </c>
      <c r="BB61">
        <v>51.128188291999997</v>
      </c>
    </row>
    <row r="62" spans="1:54" x14ac:dyDescent="0.25">
      <c r="A62">
        <v>61</v>
      </c>
      <c r="B62" t="s">
        <v>210</v>
      </c>
      <c r="C62" t="s">
        <v>40</v>
      </c>
      <c r="D62" s="1" t="d">
        <v>2018-05-02T11:30:37.00000026728957925</v>
      </c>
      <c r="E62" s="1" t="d">
        <v>2018-05-02T12:23:52.99999991431832625</v>
      </c>
      <c r="F62" t="s">
        <v>211</v>
      </c>
      <c r="G62">
        <v>4</v>
      </c>
      <c r="H62">
        <v>1</v>
      </c>
      <c r="I62">
        <v>1</v>
      </c>
      <c r="J62">
        <v>2</v>
      </c>
      <c r="K62">
        <v>1</v>
      </c>
      <c r="L62">
        <v>3</v>
      </c>
      <c r="M62">
        <v>4</v>
      </c>
      <c r="N62">
        <v>1</v>
      </c>
      <c r="O62" s="2">
        <v>2</v>
      </c>
      <c r="P62" s="2">
        <v>3</v>
      </c>
      <c r="Q62" s="2">
        <v>3</v>
      </c>
      <c r="R62">
        <v>4</v>
      </c>
      <c r="S62">
        <v>5</v>
      </c>
      <c r="T62">
        <v>3</v>
      </c>
      <c r="AY62">
        <v>42.905716863000002</v>
      </c>
      <c r="AZ62">
        <v>41.232203662000003</v>
      </c>
    </row>
    <row r="63" spans="1:54" x14ac:dyDescent="0.25">
      <c r="A63">
        <v>62</v>
      </c>
      <c r="B63" t="s">
        <v>212</v>
      </c>
      <c r="C63" t="s">
        <v>40</v>
      </c>
      <c r="D63" s="1" t="d">
        <v>2018-06-07T14:38:40.00000001862645375</v>
      </c>
      <c r="E63" s="1" t="d">
        <v>2018-06-07T19:10:10.00000031199306150</v>
      </c>
      <c r="F63" t="s">
        <v>213</v>
      </c>
      <c r="G63">
        <v>2</v>
      </c>
      <c r="H63">
        <v>3</v>
      </c>
      <c r="I63">
        <v>3</v>
      </c>
      <c r="J63">
        <v>4</v>
      </c>
      <c r="K63">
        <v>4</v>
      </c>
      <c r="L63">
        <v>4</v>
      </c>
      <c r="M63">
        <v>4</v>
      </c>
      <c r="N63">
        <v>4</v>
      </c>
      <c r="O63" s="2">
        <v>2</v>
      </c>
      <c r="P63" s="2">
        <v>1</v>
      </c>
      <c r="Q63" s="2">
        <v>6</v>
      </c>
      <c r="R63">
        <v>4</v>
      </c>
      <c r="S63">
        <v>4</v>
      </c>
      <c r="T63">
        <v>1</v>
      </c>
      <c r="U63" s="1" t="d">
        <v>2018-11-10T18:18:45.00000020954757600</v>
      </c>
      <c r="V63" s="1" t="d">
        <v>2018-11-10T19:19:31.000000066123903050</v>
      </c>
      <c r="W63" t="s">
        <v>214</v>
      </c>
      <c r="X63">
        <v>2</v>
      </c>
      <c r="Y63">
        <v>2</v>
      </c>
      <c r="Z63">
        <v>2</v>
      </c>
      <c r="AA63">
        <v>3</v>
      </c>
      <c r="AB63">
        <v>3</v>
      </c>
      <c r="AC63">
        <v>3</v>
      </c>
      <c r="AD63">
        <v>3</v>
      </c>
      <c r="AE63">
        <v>5</v>
      </c>
      <c r="AF63" s="2">
        <v>3</v>
      </c>
      <c r="AG63" s="2">
        <v>3</v>
      </c>
      <c r="AH63" s="2">
        <v>3</v>
      </c>
      <c r="AI63">
        <v>3</v>
      </c>
      <c r="AJ63">
        <v>3</v>
      </c>
      <c r="AK63">
        <v>3</v>
      </c>
      <c r="AY63">
        <v>41.050751337000001</v>
      </c>
      <c r="AZ63">
        <v>47.986940083999997</v>
      </c>
      <c r="BA63">
        <v>34.841971130499999</v>
      </c>
      <c r="BB63">
        <v>39.251007010999999</v>
      </c>
    </row>
    <row r="64" spans="1:54" x14ac:dyDescent="0.25">
      <c r="A64">
        <v>63</v>
      </c>
      <c r="B64" t="s">
        <v>215</v>
      </c>
      <c r="C64" t="s">
        <v>40</v>
      </c>
      <c r="D64" s="1" t="d">
        <v>2018-06-18T18:11:02.0000001043081275</v>
      </c>
      <c r="E64" s="1" t="d">
        <v>2018-06-18T19:06:15.00000006984918975</v>
      </c>
      <c r="F64" t="s">
        <v>216</v>
      </c>
      <c r="G64">
        <v>3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3</v>
      </c>
      <c r="O64" s="2">
        <v>3</v>
      </c>
      <c r="P64" s="2">
        <v>2</v>
      </c>
      <c r="Q64" s="2">
        <v>3</v>
      </c>
      <c r="R64">
        <v>4</v>
      </c>
      <c r="S64">
        <v>3</v>
      </c>
      <c r="T64">
        <v>3</v>
      </c>
      <c r="AY64">
        <v>38.349939427499997</v>
      </c>
      <c r="AZ64">
        <v>48.209679532999999</v>
      </c>
    </row>
    <row r="65" spans="1:54" x14ac:dyDescent="0.25">
      <c r="A65">
        <v>64</v>
      </c>
      <c r="B65" t="s">
        <v>217</v>
      </c>
      <c r="C65" t="s">
        <v>40</v>
      </c>
      <c r="D65" s="1" t="d">
        <v>2018-06-20T19:04:33.99999971967190650</v>
      </c>
      <c r="E65" s="1" t="d">
        <v>2018-07-07T14:33:23.99999970104545275</v>
      </c>
      <c r="F65" t="s">
        <v>218</v>
      </c>
      <c r="G65">
        <v>1</v>
      </c>
      <c r="H65">
        <v>2</v>
      </c>
      <c r="I65">
        <v>2</v>
      </c>
      <c r="J65">
        <v>3</v>
      </c>
      <c r="K65">
        <v>3</v>
      </c>
      <c r="L65">
        <v>3</v>
      </c>
      <c r="M65">
        <v>3</v>
      </c>
      <c r="N65">
        <v>3</v>
      </c>
      <c r="O65" s="2">
        <v>1</v>
      </c>
      <c r="P65" s="2">
        <v>2</v>
      </c>
      <c r="Q65" s="2">
        <v>4</v>
      </c>
      <c r="R65">
        <v>3</v>
      </c>
      <c r="S65">
        <v>1</v>
      </c>
      <c r="T65">
        <v>1</v>
      </c>
      <c r="U65" s="1" t="d">
        <v>2018-12-17T19:05:35.9999997541308375</v>
      </c>
      <c r="V65" s="1" t="d">
        <v>2018-12-17T19:49:44.00000017136335425</v>
      </c>
      <c r="W65" t="s">
        <v>219</v>
      </c>
      <c r="X65">
        <v>1</v>
      </c>
      <c r="Y65">
        <v>2</v>
      </c>
      <c r="Z65">
        <v>3</v>
      </c>
      <c r="AA65">
        <v>4</v>
      </c>
      <c r="AB65">
        <v>4</v>
      </c>
      <c r="AC65">
        <v>3</v>
      </c>
      <c r="AD65">
        <v>3</v>
      </c>
      <c r="AE65">
        <v>5</v>
      </c>
      <c r="AF65" s="2">
        <v>2</v>
      </c>
      <c r="AG65" s="2">
        <v>1</v>
      </c>
      <c r="AH65" s="2">
        <v>5</v>
      </c>
      <c r="AI65">
        <v>3</v>
      </c>
      <c r="AJ65">
        <v>4</v>
      </c>
      <c r="AK65">
        <v>3</v>
      </c>
      <c r="AY65">
        <v>40.550158949</v>
      </c>
      <c r="AZ65">
        <v>46.771160066</v>
      </c>
      <c r="BA65">
        <v>34.327289501000003</v>
      </c>
      <c r="BB65">
        <v>49.844465427999999</v>
      </c>
    </row>
    <row r="66" spans="1:54" x14ac:dyDescent="0.25">
      <c r="A66">
        <v>65</v>
      </c>
      <c r="B66" t="s">
        <v>220</v>
      </c>
      <c r="C66" t="s">
        <v>40</v>
      </c>
      <c r="D66" s="1" t="d">
        <v>2018-06-18T18:52:46.00000017788261475</v>
      </c>
      <c r="E66" s="1" t="d">
        <v>2018-06-18T20:37:30.000</v>
      </c>
      <c r="F66" t="s">
        <v>221</v>
      </c>
      <c r="G66">
        <v>5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 s="2">
        <v>4</v>
      </c>
      <c r="P66" s="2">
        <v>5</v>
      </c>
      <c r="Q66" s="2">
        <v>2</v>
      </c>
      <c r="R66">
        <v>1</v>
      </c>
      <c r="S66">
        <v>3</v>
      </c>
      <c r="T66">
        <v>4</v>
      </c>
      <c r="U66" s="1" t="d">
        <v>2018-12-10T17:25:54.00000012014061150</v>
      </c>
      <c r="V66" s="1" t="d">
        <v>2018-12-10T18:16:33.99999976158141900</v>
      </c>
      <c r="W66" t="s">
        <v>222</v>
      </c>
      <c r="X66">
        <v>5</v>
      </c>
      <c r="Y66">
        <v>1</v>
      </c>
      <c r="Z66">
        <v>1</v>
      </c>
      <c r="AA66">
        <v>2</v>
      </c>
      <c r="AB66">
        <v>1</v>
      </c>
      <c r="AC66">
        <v>1</v>
      </c>
      <c r="AD66">
        <v>1</v>
      </c>
      <c r="AE66">
        <v>1</v>
      </c>
      <c r="AF66" s="2">
        <v>3</v>
      </c>
      <c r="AG66" s="2">
        <v>5</v>
      </c>
      <c r="AH66" s="2">
        <v>2</v>
      </c>
      <c r="AI66">
        <v>1</v>
      </c>
      <c r="AJ66">
        <v>3</v>
      </c>
      <c r="AK66">
        <v>3</v>
      </c>
      <c r="AY66">
        <v>37.878484002999997</v>
      </c>
      <c r="AZ66">
        <v>34.750644229999999</v>
      </c>
      <c r="BA66">
        <v>35.237800943000003</v>
      </c>
      <c r="BB66">
        <v>37.568151686</v>
      </c>
    </row>
    <row r="67" spans="1:54" x14ac:dyDescent="0.25">
      <c r="A67">
        <v>66</v>
      </c>
      <c r="B67" t="s">
        <v>223</v>
      </c>
      <c r="C67" t="s">
        <v>40</v>
      </c>
      <c r="D67" s="1" t="d">
        <v>2018-07-02T11:27:58.99999979417770800</v>
      </c>
      <c r="E67" s="1" t="d">
        <v>2018-07-02T12:05:32.00000028591603300</v>
      </c>
      <c r="F67" t="s">
        <v>224</v>
      </c>
      <c r="G67">
        <v>1</v>
      </c>
      <c r="H67">
        <v>3</v>
      </c>
      <c r="I67">
        <v>2</v>
      </c>
      <c r="J67">
        <v>5</v>
      </c>
      <c r="K67">
        <v>5</v>
      </c>
      <c r="L67">
        <v>5</v>
      </c>
      <c r="M67">
        <v>5</v>
      </c>
      <c r="N67">
        <v>3</v>
      </c>
      <c r="O67" s="2">
        <v>1</v>
      </c>
      <c r="P67" s="2">
        <v>1</v>
      </c>
      <c r="Q67" s="2">
        <v>5</v>
      </c>
      <c r="R67">
        <v>5</v>
      </c>
      <c r="S67">
        <v>4</v>
      </c>
      <c r="T67">
        <v>3</v>
      </c>
      <c r="U67" s="1" t="d">
        <v>2018-12-14T21:34:47.000000034458935050</v>
      </c>
      <c r="V67" s="1" t="d">
        <v>2018-12-14T22:06:39.00000002235174450</v>
      </c>
      <c r="W67" t="s">
        <v>225</v>
      </c>
      <c r="X67">
        <v>2</v>
      </c>
      <c r="Y67">
        <v>2</v>
      </c>
      <c r="Z67">
        <v>2</v>
      </c>
      <c r="AA67">
        <v>4</v>
      </c>
      <c r="AB67">
        <v>4</v>
      </c>
      <c r="AC67">
        <v>3</v>
      </c>
      <c r="AD67">
        <v>3</v>
      </c>
      <c r="AE67">
        <v>3</v>
      </c>
      <c r="AF67" s="2">
        <v>1</v>
      </c>
      <c r="AG67" s="2">
        <v>1</v>
      </c>
      <c r="AH67" s="2">
        <v>3</v>
      </c>
      <c r="AI67">
        <v>4</v>
      </c>
      <c r="AJ67">
        <v>4</v>
      </c>
      <c r="AK67">
        <v>4</v>
      </c>
      <c r="AY67">
        <v>40.766736465999998</v>
      </c>
      <c r="AZ67">
        <v>46.914383764</v>
      </c>
      <c r="BA67">
        <v>37.511943246999998</v>
      </c>
      <c r="BB67">
        <v>49.145842794499998</v>
      </c>
    </row>
    <row r="68" spans="1:54" x14ac:dyDescent="0.25">
      <c r="A68">
        <v>67</v>
      </c>
      <c r="B68" t="s">
        <v>226</v>
      </c>
      <c r="C68" t="s">
        <v>40</v>
      </c>
      <c r="D68" s="1" t="d">
        <v>2018-06-18T15:59:05.99999974016100225</v>
      </c>
      <c r="E68" s="1" t="d">
        <v>2018-06-19T00:01:59.99999976251274675</v>
      </c>
      <c r="F68" t="s">
        <v>227</v>
      </c>
      <c r="G68">
        <v>3</v>
      </c>
      <c r="H68">
        <v>1</v>
      </c>
      <c r="I68">
        <v>2</v>
      </c>
      <c r="J68">
        <v>1</v>
      </c>
      <c r="K68">
        <v>5</v>
      </c>
      <c r="L68">
        <v>3</v>
      </c>
      <c r="M68">
        <v>3</v>
      </c>
      <c r="N68">
        <v>4</v>
      </c>
      <c r="O68" s="2">
        <v>3</v>
      </c>
      <c r="P68" s="2">
        <v>4</v>
      </c>
      <c r="Q68" s="2">
        <v>3</v>
      </c>
      <c r="R68">
        <v>2</v>
      </c>
      <c r="S68">
        <v>3</v>
      </c>
      <c r="T68">
        <v>3</v>
      </c>
      <c r="U68" s="1" t="d">
        <v>2019-01-11T15:50:05.99999986588954650</v>
      </c>
      <c r="V68" s="1" t="d">
        <v>2019-01-11T17:21:36.00000015925616100</v>
      </c>
      <c r="W68" t="s">
        <v>228</v>
      </c>
      <c r="X68">
        <v>3</v>
      </c>
      <c r="Y68">
        <v>2</v>
      </c>
      <c r="Z68">
        <v>1</v>
      </c>
      <c r="AA68">
        <v>3</v>
      </c>
      <c r="AB68">
        <v>4</v>
      </c>
      <c r="AC68">
        <v>3</v>
      </c>
      <c r="AD68">
        <v>2</v>
      </c>
      <c r="AE68">
        <v>4</v>
      </c>
      <c r="AF68" s="2">
        <v>4</v>
      </c>
      <c r="AG68" s="2">
        <v>2</v>
      </c>
      <c r="AH68" s="2">
        <v>3</v>
      </c>
      <c r="AI68">
        <v>3</v>
      </c>
      <c r="AJ68">
        <v>3</v>
      </c>
      <c r="AK68">
        <v>3</v>
      </c>
      <c r="AY68">
        <v>32.144397288500002</v>
      </c>
      <c r="AZ68">
        <v>36.310611141499997</v>
      </c>
      <c r="BA68">
        <v>31.280267285000001</v>
      </c>
      <c r="BB68">
        <v>42.081965179500003</v>
      </c>
    </row>
    <row r="69" spans="1:54" x14ac:dyDescent="0.25">
      <c r="A69">
        <v>68</v>
      </c>
      <c r="B69" t="s">
        <v>229</v>
      </c>
      <c r="C69" t="s">
        <v>40</v>
      </c>
      <c r="D69" s="1" t="d">
        <v>2018-06-29T19:55:31.000000191852450</v>
      </c>
      <c r="E69" s="1" t="d">
        <v>2018-06-29T23:31:06.99999973643571150</v>
      </c>
      <c r="F69" t="s">
        <v>230</v>
      </c>
      <c r="G69">
        <v>2</v>
      </c>
      <c r="H69">
        <v>1</v>
      </c>
      <c r="I69">
        <v>2</v>
      </c>
      <c r="J69">
        <v>3</v>
      </c>
      <c r="K69">
        <v>1</v>
      </c>
      <c r="L69">
        <v>1</v>
      </c>
      <c r="M69">
        <v>3</v>
      </c>
      <c r="N69">
        <v>2</v>
      </c>
      <c r="O69" s="2">
        <v>3</v>
      </c>
      <c r="P69" s="2">
        <v>3</v>
      </c>
      <c r="Q69" s="2">
        <v>2</v>
      </c>
      <c r="R69">
        <v>3</v>
      </c>
      <c r="S69">
        <v>3</v>
      </c>
      <c r="T69">
        <v>3</v>
      </c>
      <c r="U69" s="1" t="d">
        <v>2019-01-29T21:26:46.99999972712248800</v>
      </c>
      <c r="V69" s="1" t="d">
        <v>2019-01-31T16:38:08.00000029150396575</v>
      </c>
      <c r="W69" t="s">
        <v>231</v>
      </c>
      <c r="X69">
        <v>3</v>
      </c>
      <c r="Y69">
        <v>1</v>
      </c>
      <c r="Z69">
        <v>2</v>
      </c>
      <c r="AA69">
        <v>2</v>
      </c>
      <c r="AB69">
        <v>3</v>
      </c>
      <c r="AC69">
        <v>3</v>
      </c>
      <c r="AD69">
        <v>4</v>
      </c>
      <c r="AE69">
        <v>3</v>
      </c>
      <c r="AF69" s="2">
        <v>2</v>
      </c>
      <c r="AG69" s="2">
        <v>3</v>
      </c>
      <c r="AH69" s="2">
        <v>2</v>
      </c>
      <c r="AI69">
        <v>3</v>
      </c>
      <c r="AJ69">
        <v>4</v>
      </c>
      <c r="AK69">
        <v>3</v>
      </c>
      <c r="AY69">
        <v>43.531930475499998</v>
      </c>
      <c r="AZ69">
        <v>41.312202130000003</v>
      </c>
      <c r="BA69">
        <v>39.149386598</v>
      </c>
      <c r="BB69">
        <v>36.379714653500002</v>
      </c>
    </row>
    <row r="70" spans="1:54" x14ac:dyDescent="0.25">
      <c r="A70">
        <v>69</v>
      </c>
      <c r="B70" t="s">
        <v>232</v>
      </c>
      <c r="C70" t="s">
        <v>40</v>
      </c>
      <c r="D70" s="1" t="d">
        <v>2018-06-22T19:33:39.9999998789280675</v>
      </c>
      <c r="E70" s="1" t="d">
        <v>2018-06-26T08:27:58.99999979417770800</v>
      </c>
      <c r="F70" t="s">
        <v>233</v>
      </c>
      <c r="G70">
        <v>2</v>
      </c>
      <c r="H70">
        <v>2</v>
      </c>
      <c r="I70">
        <v>2</v>
      </c>
      <c r="J70">
        <v>5</v>
      </c>
      <c r="K70">
        <v>4</v>
      </c>
      <c r="L70">
        <v>4</v>
      </c>
      <c r="M70">
        <v>4</v>
      </c>
      <c r="N70">
        <v>3</v>
      </c>
      <c r="O70" s="2">
        <v>4</v>
      </c>
      <c r="P70" s="2">
        <v>2</v>
      </c>
      <c r="Q70" s="2">
        <v>2</v>
      </c>
      <c r="R70">
        <v>2</v>
      </c>
      <c r="S70">
        <v>2</v>
      </c>
      <c r="T70">
        <v>1</v>
      </c>
      <c r="U70" s="1" t="d">
        <v>2018-12-15T12:56:27.999999895691871825</v>
      </c>
      <c r="V70" s="1" t="d">
        <v>2018-12-19T12:01:40.00000011641532075</v>
      </c>
      <c r="W70" t="s">
        <v>234</v>
      </c>
      <c r="X70">
        <v>3</v>
      </c>
      <c r="Y70">
        <v>2</v>
      </c>
      <c r="Z70">
        <v>2</v>
      </c>
      <c r="AA70">
        <v>5</v>
      </c>
      <c r="AB70">
        <v>5</v>
      </c>
      <c r="AC70">
        <v>5</v>
      </c>
      <c r="AD70">
        <v>5</v>
      </c>
      <c r="AE70">
        <v>5</v>
      </c>
      <c r="AF70" s="2">
        <v>1</v>
      </c>
      <c r="AG70" s="2">
        <v>1</v>
      </c>
      <c r="AH70" s="2">
        <v>1</v>
      </c>
      <c r="AI70">
        <v>5</v>
      </c>
      <c r="AJ70">
        <v>2</v>
      </c>
      <c r="AK70">
        <v>1</v>
      </c>
      <c r="AY70">
        <v>40.748274250000001</v>
      </c>
      <c r="AZ70">
        <v>28.216916695999998</v>
      </c>
      <c r="BA70">
        <v>31.953687242000001</v>
      </c>
      <c r="BB70">
        <v>37.994210099999997</v>
      </c>
    </row>
    <row r="71" spans="1:54" x14ac:dyDescent="0.25">
      <c r="A71">
        <v>70</v>
      </c>
      <c r="B71" t="s">
        <v>235</v>
      </c>
      <c r="C71" t="s">
        <v>40</v>
      </c>
      <c r="D71" s="1" t="d">
        <v>2018-07-21T14:12:31.99999997857958325</v>
      </c>
      <c r="E71" s="1" t="d">
        <v>2018-07-21T14:53:12.99999978393316350</v>
      </c>
      <c r="F71" t="s">
        <v>236</v>
      </c>
      <c r="G71">
        <v>2</v>
      </c>
      <c r="H71">
        <v>2</v>
      </c>
      <c r="I71">
        <v>2</v>
      </c>
      <c r="J71">
        <v>5</v>
      </c>
      <c r="K71">
        <v>5</v>
      </c>
      <c r="L71">
        <v>5</v>
      </c>
      <c r="M71">
        <v>5</v>
      </c>
      <c r="N71">
        <v>5</v>
      </c>
      <c r="O71" s="2">
        <v>1</v>
      </c>
      <c r="P71" s="2">
        <v>1</v>
      </c>
      <c r="Q71" s="2">
        <v>6</v>
      </c>
      <c r="R71">
        <v>5</v>
      </c>
      <c r="S71">
        <v>2</v>
      </c>
      <c r="T71">
        <v>3</v>
      </c>
      <c r="U71" s="1" t="d">
        <v>2018-12-13T09:30:56.00000009872019475</v>
      </c>
      <c r="V71" s="1" t="d">
        <v>2018-12-18T07:47:16.99999975506216525</v>
      </c>
      <c r="W71" t="s">
        <v>237</v>
      </c>
      <c r="X71">
        <v>1</v>
      </c>
      <c r="Y71">
        <v>3</v>
      </c>
      <c r="Z71">
        <v>2</v>
      </c>
      <c r="AA71">
        <v>4</v>
      </c>
      <c r="AB71">
        <v>5</v>
      </c>
      <c r="AC71">
        <v>5</v>
      </c>
      <c r="AD71">
        <v>5</v>
      </c>
      <c r="AE71">
        <v>5</v>
      </c>
      <c r="AF71" s="2">
        <v>1</v>
      </c>
      <c r="AG71" s="2">
        <v>2</v>
      </c>
      <c r="AH71" s="2">
        <v>5</v>
      </c>
      <c r="AI71">
        <v>4</v>
      </c>
      <c r="AJ71">
        <v>2</v>
      </c>
      <c r="AK71">
        <v>4</v>
      </c>
      <c r="AY71">
        <v>28.5737567195</v>
      </c>
      <c r="AZ71">
        <v>52.909201555000003</v>
      </c>
      <c r="BA71">
        <v>35.145815566499998</v>
      </c>
      <c r="BB71">
        <v>43.400736244500003</v>
      </c>
    </row>
    <row r="72" spans="1:54" x14ac:dyDescent="0.25">
      <c r="A72">
        <v>71</v>
      </c>
      <c r="B72" t="s">
        <v>238</v>
      </c>
      <c r="C72" t="s">
        <v>40</v>
      </c>
      <c r="D72" s="1" t="d">
        <v>2018-07-16T07:29:07.0000001834705475</v>
      </c>
      <c r="E72" s="1" t="d">
        <v>2018-07-16T07:51:40.00000025611370700</v>
      </c>
      <c r="F72" t="s">
        <v>239</v>
      </c>
      <c r="G72">
        <v>2</v>
      </c>
      <c r="H72">
        <v>1</v>
      </c>
      <c r="I72">
        <v>2</v>
      </c>
      <c r="J72">
        <v>3</v>
      </c>
      <c r="K72">
        <v>2</v>
      </c>
      <c r="L72">
        <v>2</v>
      </c>
      <c r="M72">
        <v>2</v>
      </c>
      <c r="N72">
        <v>3</v>
      </c>
      <c r="O72" s="2">
        <v>1</v>
      </c>
      <c r="P72" s="2">
        <v>1</v>
      </c>
      <c r="Q72" s="2">
        <v>5</v>
      </c>
      <c r="R72">
        <v>5</v>
      </c>
      <c r="S72">
        <v>1</v>
      </c>
      <c r="T72">
        <v>1</v>
      </c>
      <c r="U72" s="1" t="d">
        <v>2018-12-02T07:23:15.99999985657632300</v>
      </c>
      <c r="V72" s="1" t="d">
        <v>2018-12-02T07:52:52.000000113621354375</v>
      </c>
      <c r="W72" t="s">
        <v>240</v>
      </c>
      <c r="X72">
        <v>2</v>
      </c>
      <c r="Y72">
        <v>2</v>
      </c>
      <c r="Z72">
        <v>2</v>
      </c>
      <c r="AA72">
        <v>2</v>
      </c>
      <c r="AB72">
        <v>2</v>
      </c>
      <c r="AC72">
        <v>4</v>
      </c>
      <c r="AD72">
        <v>4</v>
      </c>
      <c r="AE72">
        <v>2</v>
      </c>
      <c r="AF72" s="2">
        <v>2</v>
      </c>
      <c r="AG72" s="2">
        <v>1</v>
      </c>
      <c r="AH72" s="2">
        <v>5</v>
      </c>
      <c r="AI72">
        <v>5</v>
      </c>
      <c r="AJ72">
        <v>1</v>
      </c>
      <c r="AK72">
        <v>3</v>
      </c>
      <c r="AY72">
        <v>35.492961194499998</v>
      </c>
      <c r="AZ72">
        <v>62.937279421500001</v>
      </c>
      <c r="BA72">
        <v>49.229577849499996</v>
      </c>
      <c r="BB72">
        <v>47.357632585499999</v>
      </c>
    </row>
    <row r="73" spans="1:54" x14ac:dyDescent="0.25">
      <c r="A73">
        <v>72</v>
      </c>
      <c r="B73" t="s">
        <v>241</v>
      </c>
      <c r="C73" t="s">
        <v>111</v>
      </c>
      <c r="D73" s="1" t="d">
        <v>2018-07-28T15:30:30.00000030733644975</v>
      </c>
      <c r="E73" s="1" t="d">
        <v>2018-07-28T15:57:39.00000014808028875</v>
      </c>
      <c r="F73" t="s">
        <v>242</v>
      </c>
      <c r="G73">
        <v>3</v>
      </c>
      <c r="H73">
        <v>1</v>
      </c>
      <c r="I73">
        <v>1</v>
      </c>
      <c r="J73">
        <v>1</v>
      </c>
      <c r="K73">
        <v>1</v>
      </c>
      <c r="L73">
        <v>4</v>
      </c>
      <c r="M73">
        <v>1</v>
      </c>
      <c r="N73">
        <v>2</v>
      </c>
      <c r="O73" s="2">
        <v>3</v>
      </c>
      <c r="P73" s="2">
        <v>2</v>
      </c>
      <c r="Q73" s="2">
        <v>5</v>
      </c>
      <c r="R73">
        <v>3</v>
      </c>
      <c r="S73">
        <v>1</v>
      </c>
      <c r="T73">
        <v>4</v>
      </c>
      <c r="U73" s="1" t="d">
        <v>2018-12-16T08:08:20.00000016298145175</v>
      </c>
      <c r="V73" s="1" t="d">
        <v>2018-12-16T08:34:14.00000007357448050</v>
      </c>
      <c r="W73" t="s">
        <v>243</v>
      </c>
      <c r="X73">
        <v>3</v>
      </c>
      <c r="Y73">
        <v>1</v>
      </c>
      <c r="Z73">
        <v>1</v>
      </c>
      <c r="AA73">
        <v>1</v>
      </c>
      <c r="AB73">
        <v>1</v>
      </c>
      <c r="AC73">
        <v>4</v>
      </c>
      <c r="AD73">
        <v>4</v>
      </c>
      <c r="AE73">
        <v>1</v>
      </c>
      <c r="AF73" s="2">
        <v>2</v>
      </c>
      <c r="AG73" s="2">
        <v>1</v>
      </c>
      <c r="AH73" s="2">
        <v>5</v>
      </c>
      <c r="AI73">
        <v>4</v>
      </c>
      <c r="AJ73">
        <v>2</v>
      </c>
      <c r="AK73">
        <v>1</v>
      </c>
      <c r="AY73">
        <v>41.52276389</v>
      </c>
      <c r="AZ73">
        <v>46.548719284999997</v>
      </c>
      <c r="BA73">
        <v>47.158691119499998</v>
      </c>
      <c r="BB73">
        <v>46.165056767999999</v>
      </c>
    </row>
    <row r="74" spans="1:54" x14ac:dyDescent="0.25">
      <c r="A74">
        <v>73</v>
      </c>
      <c r="B74" t="s">
        <v>244</v>
      </c>
      <c r="C74" t="s">
        <v>40</v>
      </c>
      <c r="D74" s="1" t="d">
        <v>2018-07-29T17:53:04.9999997997656475</v>
      </c>
      <c r="E74" s="1" t="d">
        <v>2018-07-29T18:43:35.00000024680048350</v>
      </c>
      <c r="F74" t="s">
        <v>245</v>
      </c>
      <c r="G74">
        <v>2</v>
      </c>
      <c r="H74">
        <v>2</v>
      </c>
      <c r="I74">
        <v>2</v>
      </c>
      <c r="J74">
        <v>4</v>
      </c>
      <c r="K74">
        <v>2</v>
      </c>
      <c r="L74">
        <v>4</v>
      </c>
      <c r="M74">
        <v>3</v>
      </c>
      <c r="N74">
        <v>3</v>
      </c>
      <c r="O74" s="2">
        <v>1</v>
      </c>
      <c r="P74" s="2">
        <v>2</v>
      </c>
      <c r="Q74" s="2">
        <v>5</v>
      </c>
      <c r="R74">
        <v>4</v>
      </c>
      <c r="S74">
        <v>3</v>
      </c>
      <c r="T74">
        <v>2</v>
      </c>
      <c r="AY74">
        <v>39.925731550000002</v>
      </c>
      <c r="AZ74">
        <v>49.3326921695</v>
      </c>
    </row>
    <row r="75" spans="1:54" x14ac:dyDescent="0.25">
      <c r="A75">
        <v>74</v>
      </c>
      <c r="B75" t="s">
        <v>246</v>
      </c>
      <c r="C75" t="s">
        <v>40</v>
      </c>
      <c r="D75" s="1" t="d">
        <v>2018-08-02T14:14:50.00000017695128700</v>
      </c>
      <c r="E75" s="1" t="d">
        <v>2018-08-02T15:08:10.00000013038516275</v>
      </c>
      <c r="F75" t="s">
        <v>247</v>
      </c>
      <c r="G75">
        <v>1</v>
      </c>
      <c r="H75">
        <v>3</v>
      </c>
      <c r="I75">
        <v>3</v>
      </c>
      <c r="J75">
        <v>4</v>
      </c>
      <c r="K75">
        <v>4</v>
      </c>
      <c r="L75">
        <v>5</v>
      </c>
      <c r="M75">
        <v>5</v>
      </c>
      <c r="N75">
        <v>5</v>
      </c>
      <c r="O75" s="2">
        <v>2</v>
      </c>
      <c r="P75" s="2">
        <v>2</v>
      </c>
      <c r="Q75" s="2">
        <v>6</v>
      </c>
      <c r="R75">
        <v>5</v>
      </c>
      <c r="S75">
        <v>3</v>
      </c>
      <c r="T75">
        <v>3</v>
      </c>
      <c r="U75" s="1" t="d">
        <v>2018-12-16T14:35:43.00000013317912575</v>
      </c>
      <c r="V75" s="1" t="d">
        <v>2018-12-16T15:06:04.00000022258609700</v>
      </c>
      <c r="W75" t="s">
        <v>248</v>
      </c>
      <c r="X75">
        <v>1</v>
      </c>
      <c r="Y75">
        <v>2</v>
      </c>
      <c r="Z75">
        <v>3</v>
      </c>
      <c r="AA75">
        <v>5</v>
      </c>
      <c r="AB75">
        <v>5</v>
      </c>
      <c r="AC75">
        <v>5</v>
      </c>
      <c r="AD75">
        <v>5</v>
      </c>
      <c r="AE75">
        <v>4</v>
      </c>
      <c r="AF75" s="2">
        <v>1</v>
      </c>
      <c r="AG75" s="2">
        <v>2</v>
      </c>
      <c r="AH75" s="2">
        <v>6</v>
      </c>
      <c r="AI75">
        <v>4</v>
      </c>
      <c r="AJ75">
        <v>4</v>
      </c>
      <c r="AK75">
        <v>3</v>
      </c>
      <c r="AY75">
        <v>40.637707024000001</v>
      </c>
      <c r="AZ75">
        <v>44.719317422000003</v>
      </c>
      <c r="BA75">
        <v>36.124100646499997</v>
      </c>
      <c r="BB75">
        <v>46.604442835500002</v>
      </c>
    </row>
    <row r="76" spans="1:54" x14ac:dyDescent="0.25">
      <c r="A76">
        <v>75</v>
      </c>
      <c r="B76" t="s">
        <v>249</v>
      </c>
      <c r="C76" t="s">
        <v>40</v>
      </c>
      <c r="D76" s="1" t="d">
        <v>2018-07-20T07:24:06.00000022910535075</v>
      </c>
      <c r="E76" s="1" t="d">
        <v>2018-07-20T07:47:00.00000018160789875</v>
      </c>
      <c r="F76" t="s">
        <v>250</v>
      </c>
      <c r="G76">
        <v>3</v>
      </c>
      <c r="H76">
        <v>1</v>
      </c>
      <c r="I76">
        <v>1</v>
      </c>
      <c r="J76">
        <v>2</v>
      </c>
      <c r="K76">
        <v>2</v>
      </c>
      <c r="L76">
        <v>3</v>
      </c>
      <c r="M76">
        <v>4</v>
      </c>
      <c r="N76">
        <v>3</v>
      </c>
      <c r="O76" s="2">
        <v>2</v>
      </c>
      <c r="P76" s="2">
        <v>1</v>
      </c>
      <c r="Q76" s="2">
        <v>6</v>
      </c>
      <c r="R76">
        <v>3</v>
      </c>
      <c r="S76">
        <v>1</v>
      </c>
      <c r="T76">
        <v>1</v>
      </c>
      <c r="U76" s="1" t="d">
        <v>2018-12-11T07:11:11.0000001126900300</v>
      </c>
      <c r="V76" s="1" t="d">
        <v>2018-12-14T15:27:37.99999970477074350</v>
      </c>
      <c r="W76" t="s">
        <v>251</v>
      </c>
      <c r="X76">
        <v>3</v>
      </c>
      <c r="Y76">
        <v>2</v>
      </c>
      <c r="Z76">
        <v>1</v>
      </c>
      <c r="AA76">
        <v>2</v>
      </c>
      <c r="AB76">
        <v>2</v>
      </c>
      <c r="AC76">
        <v>1</v>
      </c>
      <c r="AD76">
        <v>2</v>
      </c>
      <c r="AE76">
        <v>2</v>
      </c>
      <c r="AF76" s="2">
        <v>2</v>
      </c>
      <c r="AG76" s="2">
        <v>4</v>
      </c>
      <c r="AH76" s="2">
        <v>3</v>
      </c>
      <c r="AI76">
        <v>3</v>
      </c>
      <c r="AJ76">
        <v>2</v>
      </c>
      <c r="AK76">
        <v>5</v>
      </c>
      <c r="AY76">
        <v>34.191199881999999</v>
      </c>
      <c r="AZ76">
        <v>52.069662921499997</v>
      </c>
      <c r="BA76">
        <v>37.704019291000002</v>
      </c>
      <c r="BB76">
        <v>46.935007147500002</v>
      </c>
    </row>
    <row r="77" spans="1:54" x14ac:dyDescent="0.25">
      <c r="A77">
        <v>76</v>
      </c>
      <c r="B77" t="s">
        <v>252</v>
      </c>
      <c r="C77" t="s">
        <v>40</v>
      </c>
      <c r="D77" s="1" t="d">
        <v>2018-08-06T08:23:02.00000014621764675</v>
      </c>
      <c r="E77" s="1" t="d">
        <v>2018-08-06T09:18:10.99999980535358025</v>
      </c>
      <c r="F77" t="s">
        <v>253</v>
      </c>
      <c r="G77">
        <v>2</v>
      </c>
      <c r="H77">
        <v>2</v>
      </c>
      <c r="I77">
        <v>2</v>
      </c>
      <c r="J77">
        <v>4</v>
      </c>
      <c r="K77">
        <v>4</v>
      </c>
      <c r="L77">
        <v>4</v>
      </c>
      <c r="M77">
        <v>4</v>
      </c>
      <c r="N77">
        <v>2</v>
      </c>
      <c r="O77" s="2">
        <v>1</v>
      </c>
      <c r="P77" s="2">
        <v>1</v>
      </c>
      <c r="Q77" s="2">
        <v>5</v>
      </c>
      <c r="R77">
        <v>4</v>
      </c>
      <c r="S77">
        <v>2</v>
      </c>
      <c r="T77">
        <v>3</v>
      </c>
      <c r="U77" s="1" t="d">
        <v>2019-01-23T19:39:47.99999977927655175</v>
      </c>
      <c r="V77" s="1" t="d">
        <v>2019-01-23T21:22:01.00000013597309550</v>
      </c>
      <c r="W77" t="s">
        <v>254</v>
      </c>
      <c r="X77">
        <v>2</v>
      </c>
      <c r="Y77">
        <v>2</v>
      </c>
      <c r="Z77">
        <v>2</v>
      </c>
      <c r="AA77">
        <v>3</v>
      </c>
      <c r="AB77">
        <v>4</v>
      </c>
      <c r="AC77">
        <v>4</v>
      </c>
      <c r="AD77">
        <v>3</v>
      </c>
      <c r="AE77">
        <v>2</v>
      </c>
      <c r="AF77" s="2">
        <v>2</v>
      </c>
      <c r="AG77" s="2">
        <v>3</v>
      </c>
      <c r="AH77" s="2">
        <v>5</v>
      </c>
      <c r="AI77">
        <v>3</v>
      </c>
      <c r="AJ77">
        <v>4</v>
      </c>
      <c r="AK77">
        <v>4</v>
      </c>
      <c r="AY77">
        <v>40.973500131999998</v>
      </c>
      <c r="AZ77">
        <v>49.322753024000001</v>
      </c>
      <c r="BA77">
        <v>41.493459235499998</v>
      </c>
      <c r="BB77">
        <v>43.035633269000002</v>
      </c>
    </row>
    <row r="78" spans="1:54" x14ac:dyDescent="0.25">
      <c r="A78">
        <v>77</v>
      </c>
      <c r="B78" t="s">
        <v>255</v>
      </c>
      <c r="C78" t="s">
        <v>111</v>
      </c>
      <c r="D78" s="1" t="d">
        <v>2018-08-17T09:16:17.00000018812715925</v>
      </c>
      <c r="E78" s="1" t="d">
        <v>2018-08-17T10:16:47.00000007636845025</v>
      </c>
      <c r="F78" t="s">
        <v>256</v>
      </c>
      <c r="G78">
        <v>3</v>
      </c>
      <c r="H78">
        <v>2</v>
      </c>
      <c r="I78">
        <v>1</v>
      </c>
      <c r="J78">
        <v>3</v>
      </c>
      <c r="K78">
        <v>3</v>
      </c>
      <c r="L78">
        <v>4</v>
      </c>
      <c r="M78">
        <v>3</v>
      </c>
      <c r="N78">
        <v>3</v>
      </c>
      <c r="O78" s="2">
        <v>2</v>
      </c>
      <c r="P78" s="2">
        <v>2</v>
      </c>
      <c r="Q78" s="2">
        <v>4</v>
      </c>
      <c r="R78">
        <v>4</v>
      </c>
      <c r="S78">
        <v>3</v>
      </c>
      <c r="T78">
        <v>4</v>
      </c>
      <c r="U78" s="1" t="d">
        <v>2019-02-17T10:32:37.99999984446912975</v>
      </c>
      <c r="V78" s="1" t="d">
        <v>2019-02-17T11:12:41.99999980162828950</v>
      </c>
      <c r="W78" t="s">
        <v>257</v>
      </c>
      <c r="X78">
        <v>3</v>
      </c>
      <c r="Y78">
        <v>2</v>
      </c>
      <c r="Z78">
        <v>1</v>
      </c>
      <c r="AA78">
        <v>2</v>
      </c>
      <c r="AB78">
        <v>3</v>
      </c>
      <c r="AC78">
        <v>3</v>
      </c>
      <c r="AD78">
        <v>2</v>
      </c>
      <c r="AE78">
        <v>2</v>
      </c>
      <c r="AF78" s="2">
        <v>3</v>
      </c>
      <c r="AG78" s="2">
        <v>3</v>
      </c>
      <c r="AH78" s="2">
        <v>3</v>
      </c>
      <c r="AI78">
        <v>4</v>
      </c>
      <c r="AJ78">
        <v>3</v>
      </c>
      <c r="AK78">
        <v>4</v>
      </c>
      <c r="AY78">
        <v>36.081693002500003</v>
      </c>
      <c r="AZ78">
        <v>45.745667622500001</v>
      </c>
      <c r="BA78">
        <v>40.292937445500002</v>
      </c>
      <c r="BB78">
        <v>43.131716650999998</v>
      </c>
    </row>
    <row r="79" spans="1:54" x14ac:dyDescent="0.25">
      <c r="A79">
        <v>78</v>
      </c>
      <c r="B79" t="s">
        <v>258</v>
      </c>
      <c r="C79" t="s">
        <v>40</v>
      </c>
      <c r="D79" s="1" t="d">
        <v>2018-08-18T15:30:19.99999985564500200</v>
      </c>
      <c r="E79" s="1" t="d">
        <v>2018-08-18T16:26:36.00000008940696450</v>
      </c>
      <c r="F79" t="s">
        <v>259</v>
      </c>
      <c r="G79">
        <v>2</v>
      </c>
      <c r="H79">
        <v>2</v>
      </c>
      <c r="I79">
        <v>2</v>
      </c>
      <c r="J79">
        <v>2</v>
      </c>
      <c r="K79">
        <v>3</v>
      </c>
      <c r="L79">
        <v>2</v>
      </c>
      <c r="M79">
        <v>2</v>
      </c>
      <c r="N79">
        <v>4</v>
      </c>
      <c r="O79" s="2">
        <v>1</v>
      </c>
      <c r="P79" s="2">
        <v>2</v>
      </c>
      <c r="Q79" s="2">
        <v>4</v>
      </c>
      <c r="R79">
        <v>3</v>
      </c>
      <c r="S79">
        <v>4</v>
      </c>
      <c r="T79">
        <v>4</v>
      </c>
      <c r="AY79">
        <v>35.5727662575</v>
      </c>
      <c r="AZ79">
        <v>51.953807043499999</v>
      </c>
    </row>
    <row r="80" spans="1:54" x14ac:dyDescent="0.25">
      <c r="A80">
        <v>79</v>
      </c>
      <c r="B80" t="s">
        <v>260</v>
      </c>
      <c r="C80" t="s">
        <v>40</v>
      </c>
      <c r="D80" s="1" t="d">
        <v>2018-08-22T10:05:22.00000025331973725</v>
      </c>
      <c r="E80" s="1" t="d">
        <v>2018-08-22T17:51:51.00000010337680650</v>
      </c>
      <c r="F80" t="s">
        <v>261</v>
      </c>
      <c r="G80">
        <v>3</v>
      </c>
      <c r="H80">
        <v>1</v>
      </c>
      <c r="I80">
        <v>1</v>
      </c>
      <c r="J80">
        <v>5</v>
      </c>
      <c r="K80">
        <v>1</v>
      </c>
      <c r="L80">
        <v>4</v>
      </c>
      <c r="M80">
        <v>3</v>
      </c>
      <c r="N80">
        <v>2</v>
      </c>
      <c r="O80" s="2">
        <v>2</v>
      </c>
      <c r="P80" s="2">
        <v>1</v>
      </c>
      <c r="Q80" s="2">
        <v>4</v>
      </c>
      <c r="R80">
        <v>4</v>
      </c>
      <c r="S80">
        <v>1</v>
      </c>
      <c r="T80">
        <v>2</v>
      </c>
      <c r="U80" s="1" t="d">
        <v>2019-01-25T09:25:07.99999984446912975</v>
      </c>
      <c r="V80" s="1" t="d">
        <v>2019-01-25T16:03:58.99999971035867625</v>
      </c>
      <c r="W80" t="s">
        <v>262</v>
      </c>
      <c r="X80">
        <v>2</v>
      </c>
      <c r="Y80">
        <v>1</v>
      </c>
      <c r="Z80">
        <v>1</v>
      </c>
      <c r="AA80">
        <v>1</v>
      </c>
      <c r="AB80">
        <v>1</v>
      </c>
      <c r="AC80">
        <v>2</v>
      </c>
      <c r="AD80">
        <v>2</v>
      </c>
      <c r="AE80">
        <v>1</v>
      </c>
      <c r="AF80" s="2">
        <v>2</v>
      </c>
      <c r="AG80" s="2">
        <v>3</v>
      </c>
      <c r="AH80" s="2">
        <v>2</v>
      </c>
      <c r="AI80">
        <v>2</v>
      </c>
      <c r="AJ80">
        <v>3</v>
      </c>
      <c r="AK80">
        <v>4</v>
      </c>
      <c r="AY80">
        <v>36.900059709499999</v>
      </c>
      <c r="AZ80">
        <v>48.325922049500001</v>
      </c>
      <c r="BA80">
        <v>46.394141857999998</v>
      </c>
      <c r="BB80">
        <v>39.351590410999997</v>
      </c>
    </row>
    <row r="81" spans="1:54" x14ac:dyDescent="0.25">
      <c r="A81">
        <v>80</v>
      </c>
      <c r="B81" t="s">
        <v>263</v>
      </c>
      <c r="C81" t="s">
        <v>40</v>
      </c>
      <c r="D81" s="1" t="d">
        <v>2018-08-11T10:43:15.99999999627470925</v>
      </c>
      <c r="E81" s="1" t="d">
        <v>2018-08-11T11:07:08.00000030547380775</v>
      </c>
      <c r="F81" t="s">
        <v>264</v>
      </c>
      <c r="G81">
        <v>3</v>
      </c>
      <c r="H81">
        <v>2</v>
      </c>
      <c r="I81">
        <v>2</v>
      </c>
      <c r="J81">
        <v>3</v>
      </c>
      <c r="K81">
        <v>3</v>
      </c>
      <c r="L81">
        <v>3</v>
      </c>
      <c r="M81">
        <v>3</v>
      </c>
      <c r="N81">
        <v>3</v>
      </c>
      <c r="O81" s="2">
        <v>3</v>
      </c>
      <c r="P81" s="2">
        <v>4</v>
      </c>
      <c r="Q81" s="2">
        <v>2</v>
      </c>
      <c r="R81">
        <v>4</v>
      </c>
      <c r="S81">
        <v>3</v>
      </c>
      <c r="T81">
        <v>3</v>
      </c>
      <c r="U81" s="1" t="d">
        <v>2019-01-18T11:07:45.99999975878745600</v>
      </c>
      <c r="V81" s="1" t="d">
        <v>2019-01-18T11:40:48.99999999906867900</v>
      </c>
      <c r="W81" t="s">
        <v>265</v>
      </c>
      <c r="X81">
        <v>3</v>
      </c>
      <c r="Y81">
        <v>1</v>
      </c>
      <c r="Z81">
        <v>1</v>
      </c>
      <c r="AA81">
        <v>3</v>
      </c>
      <c r="AB81">
        <v>3</v>
      </c>
      <c r="AC81">
        <v>3</v>
      </c>
      <c r="AD81">
        <v>3</v>
      </c>
      <c r="AE81">
        <v>4</v>
      </c>
      <c r="AF81" s="2">
        <v>1</v>
      </c>
      <c r="AG81" s="2">
        <v>4</v>
      </c>
      <c r="AH81" s="2">
        <v>4</v>
      </c>
      <c r="AI81">
        <v>5</v>
      </c>
      <c r="AJ81">
        <v>2</v>
      </c>
      <c r="AK81">
        <v>3</v>
      </c>
      <c r="AY81">
        <v>40.167517928499997</v>
      </c>
      <c r="AZ81">
        <v>36.3935519355</v>
      </c>
      <c r="BA81">
        <v>26.107409216000001</v>
      </c>
      <c r="BB81">
        <v>53.422457322</v>
      </c>
    </row>
    <row r="82" spans="1:54" x14ac:dyDescent="0.25">
      <c r="A82">
        <v>81</v>
      </c>
      <c r="B82" t="s">
        <v>266</v>
      </c>
      <c r="C82" t="s">
        <v>111</v>
      </c>
      <c r="D82" s="1" t="d">
        <v>2018-08-15T15:29:01.00000024773180450</v>
      </c>
      <c r="E82" s="1" t="d">
        <v>2018-08-29T12:49:14.99999988824129100</v>
      </c>
      <c r="F82" t="s">
        <v>267</v>
      </c>
      <c r="G82">
        <v>2</v>
      </c>
      <c r="H82">
        <v>1</v>
      </c>
      <c r="I82">
        <v>1</v>
      </c>
      <c r="J82">
        <v>3</v>
      </c>
      <c r="K82">
        <v>2</v>
      </c>
      <c r="L82">
        <v>3</v>
      </c>
      <c r="M82">
        <v>4</v>
      </c>
      <c r="N82">
        <v>1</v>
      </c>
      <c r="O82" s="2">
        <v>3</v>
      </c>
      <c r="P82" s="2">
        <v>2</v>
      </c>
      <c r="Q82" s="2">
        <v>4</v>
      </c>
      <c r="R82">
        <v>4</v>
      </c>
      <c r="S82">
        <v>3</v>
      </c>
      <c r="T82">
        <v>2</v>
      </c>
      <c r="U82" s="1" t="d">
        <v>2019-01-17T15:25:13.99999998975544875</v>
      </c>
      <c r="V82" s="1" t="d">
        <v>2019-01-17T15:54:37.99999995622783875</v>
      </c>
      <c r="W82" t="s">
        <v>268</v>
      </c>
      <c r="X82">
        <v>2</v>
      </c>
      <c r="Y82">
        <v>1</v>
      </c>
      <c r="Z82">
        <v>1</v>
      </c>
      <c r="AA82">
        <v>1</v>
      </c>
      <c r="AB82">
        <v>1</v>
      </c>
      <c r="AC82">
        <v>4</v>
      </c>
      <c r="AD82">
        <v>4</v>
      </c>
      <c r="AE82">
        <v>1</v>
      </c>
      <c r="AF82" s="2">
        <v>4</v>
      </c>
      <c r="AG82" s="2">
        <v>2</v>
      </c>
      <c r="AH82" s="2">
        <v>2</v>
      </c>
      <c r="AI82">
        <v>3</v>
      </c>
      <c r="AJ82">
        <v>3</v>
      </c>
      <c r="AK82">
        <v>3</v>
      </c>
      <c r="AY82">
        <v>43.552404914999997</v>
      </c>
      <c r="AZ82">
        <v>44.620001223999999</v>
      </c>
      <c r="BA82">
        <v>53.298597807500002</v>
      </c>
      <c r="BB82">
        <v>28.700206413499998</v>
      </c>
    </row>
    <row r="83" spans="1:54" x14ac:dyDescent="0.25">
      <c r="A83">
        <v>82</v>
      </c>
      <c r="B83" t="s">
        <v>269</v>
      </c>
      <c r="C83" t="s">
        <v>40</v>
      </c>
      <c r="D83" s="1" t="d">
        <v>2018-09-05T05:29:22.99999994225800350</v>
      </c>
      <c r="E83" s="1" t="d">
        <v>2018-09-05T05:59:01.00000003818422850</v>
      </c>
      <c r="F83" t="s">
        <v>270</v>
      </c>
      <c r="G83">
        <v>3</v>
      </c>
      <c r="H83">
        <v>1</v>
      </c>
      <c r="I83">
        <v>1</v>
      </c>
      <c r="J83">
        <v>3</v>
      </c>
      <c r="K83">
        <v>3</v>
      </c>
      <c r="L83">
        <v>3</v>
      </c>
      <c r="M83">
        <v>3</v>
      </c>
      <c r="N83">
        <v>3</v>
      </c>
      <c r="O83" s="2">
        <v>3</v>
      </c>
      <c r="P83" s="2">
        <v>4</v>
      </c>
      <c r="Q83" s="2">
        <v>4</v>
      </c>
      <c r="R83">
        <v>4</v>
      </c>
      <c r="S83">
        <v>5</v>
      </c>
      <c r="T83">
        <v>5</v>
      </c>
      <c r="U83" s="1" t="d">
        <v>2019-02-06T06:17:49.99999992549419175</v>
      </c>
      <c r="V83" s="1" t="d">
        <v>2019-02-06T06:48:25.00000014435499800</v>
      </c>
      <c r="W83" t="s">
        <v>271</v>
      </c>
      <c r="X83">
        <v>3</v>
      </c>
      <c r="Y83">
        <v>1</v>
      </c>
      <c r="Z83">
        <v>1</v>
      </c>
      <c r="AA83">
        <v>3</v>
      </c>
      <c r="AB83">
        <v>4</v>
      </c>
      <c r="AC83">
        <v>3</v>
      </c>
      <c r="AD83">
        <v>3</v>
      </c>
      <c r="AE83">
        <v>2</v>
      </c>
      <c r="AF83" s="2">
        <v>5</v>
      </c>
      <c r="AG83" s="2">
        <v>5</v>
      </c>
      <c r="AH83" s="2">
        <v>3</v>
      </c>
      <c r="AI83">
        <v>4</v>
      </c>
      <c r="AJ83">
        <v>4</v>
      </c>
      <c r="AK83">
        <v>5</v>
      </c>
      <c r="AY83">
        <v>31.0380145735</v>
      </c>
      <c r="AZ83">
        <v>45.722497217499999</v>
      </c>
      <c r="BA83">
        <v>34.697877151500002</v>
      </c>
      <c r="BB83">
        <v>36.977058162500001</v>
      </c>
    </row>
    <row r="84" spans="1:54" x14ac:dyDescent="0.25">
      <c r="A84">
        <v>83</v>
      </c>
      <c r="B84" t="s">
        <v>272</v>
      </c>
      <c r="C84" t="s">
        <v>40</v>
      </c>
      <c r="D84" s="1" t="d">
        <v>2018-09-05T08:50:09.00000014808028875</v>
      </c>
      <c r="E84" s="1" t="d">
        <v>2018-09-05T11:34:44.99999977648258200</v>
      </c>
      <c r="F84" t="s">
        <v>273</v>
      </c>
      <c r="G84">
        <v>3</v>
      </c>
      <c r="H84">
        <v>2</v>
      </c>
      <c r="I84">
        <v>2</v>
      </c>
      <c r="J84">
        <v>3</v>
      </c>
      <c r="K84">
        <v>3</v>
      </c>
      <c r="L84">
        <v>2</v>
      </c>
      <c r="M84">
        <v>2</v>
      </c>
      <c r="N84">
        <v>4</v>
      </c>
      <c r="O84" s="2">
        <v>1</v>
      </c>
      <c r="P84" s="2">
        <v>2</v>
      </c>
      <c r="Q84" s="2">
        <v>4</v>
      </c>
      <c r="R84">
        <v>5</v>
      </c>
      <c r="S84">
        <v>2</v>
      </c>
      <c r="T84">
        <v>2</v>
      </c>
      <c r="AY84">
        <v>32.054494994999999</v>
      </c>
      <c r="AZ84">
        <v>58.034714503499998</v>
      </c>
    </row>
    <row r="85" spans="1:54" x14ac:dyDescent="0.25">
      <c r="A85">
        <v>84</v>
      </c>
      <c r="B85" t="s">
        <v>274</v>
      </c>
      <c r="C85" t="s">
        <v>40</v>
      </c>
      <c r="D85" s="1" t="d">
        <v>2018-09-14T08:16:27.99999982584267600</v>
      </c>
      <c r="E85" s="1" t="d">
        <v>2018-09-14T09:11:32.000000202096998550</v>
      </c>
      <c r="F85" t="s">
        <v>275</v>
      </c>
      <c r="G85">
        <v>2</v>
      </c>
      <c r="H85">
        <v>3</v>
      </c>
      <c r="I85">
        <v>2</v>
      </c>
      <c r="J85">
        <v>3</v>
      </c>
      <c r="K85">
        <v>3</v>
      </c>
      <c r="L85">
        <v>4</v>
      </c>
      <c r="M85">
        <v>4</v>
      </c>
      <c r="N85">
        <v>4</v>
      </c>
      <c r="O85" s="2">
        <v>2</v>
      </c>
      <c r="P85" s="2">
        <v>2</v>
      </c>
      <c r="Q85" s="2">
        <v>5</v>
      </c>
      <c r="R85">
        <v>5</v>
      </c>
      <c r="S85">
        <v>3</v>
      </c>
      <c r="T85">
        <v>3</v>
      </c>
      <c r="U85" s="1" t="d">
        <v>2019-02-21T12:03:15.99999992642551950</v>
      </c>
      <c r="V85" s="1" t="d">
        <v>2019-02-21T12:48:04.00000026449560950</v>
      </c>
      <c r="W85" t="s">
        <v>276</v>
      </c>
      <c r="X85">
        <v>3</v>
      </c>
      <c r="Y85">
        <v>2</v>
      </c>
      <c r="Z85">
        <v>1</v>
      </c>
      <c r="AA85">
        <v>3</v>
      </c>
      <c r="AB85">
        <v>3</v>
      </c>
      <c r="AC85">
        <v>3</v>
      </c>
      <c r="AD85">
        <v>2</v>
      </c>
      <c r="AE85">
        <v>2</v>
      </c>
      <c r="AF85" s="2">
        <v>5</v>
      </c>
      <c r="AG85" s="2">
        <v>4</v>
      </c>
      <c r="AH85" s="2">
        <v>3</v>
      </c>
      <c r="AI85">
        <v>3</v>
      </c>
      <c r="AJ85">
        <v>4</v>
      </c>
      <c r="AK85">
        <v>5</v>
      </c>
      <c r="AY85">
        <v>41.538354522500001</v>
      </c>
      <c r="AZ85">
        <v>46.658369233499997</v>
      </c>
      <c r="BA85">
        <v>39.482345035999998</v>
      </c>
      <c r="BB85">
        <v>35.281835669499998</v>
      </c>
    </row>
    <row r="86" spans="1:54" x14ac:dyDescent="0.25">
      <c r="A86">
        <v>85</v>
      </c>
      <c r="B86" t="s">
        <v>277</v>
      </c>
      <c r="C86" t="s">
        <v>40</v>
      </c>
      <c r="D86" s="1" t="d">
        <v>2018-09-19T10:32:42.00000015087425850</v>
      </c>
      <c r="E86" s="1" t="d">
        <v>2018-09-19T11:21:49.00000005494803350</v>
      </c>
      <c r="F86" t="s">
        <v>278</v>
      </c>
      <c r="G86">
        <v>2</v>
      </c>
      <c r="H86">
        <v>2</v>
      </c>
      <c r="I86">
        <v>2</v>
      </c>
      <c r="J86">
        <v>3</v>
      </c>
      <c r="K86">
        <v>4</v>
      </c>
      <c r="L86">
        <v>4</v>
      </c>
      <c r="M86">
        <v>4</v>
      </c>
      <c r="N86">
        <v>3</v>
      </c>
      <c r="O86" s="2">
        <v>3</v>
      </c>
      <c r="P86" s="2">
        <v>2</v>
      </c>
      <c r="Q86" s="2">
        <v>5</v>
      </c>
      <c r="R86">
        <v>4</v>
      </c>
      <c r="S86">
        <v>3</v>
      </c>
      <c r="T86">
        <v>2</v>
      </c>
      <c r="U86" s="1" t="d">
        <v>2019-03-03T13:06:05.99999985191971125</v>
      </c>
      <c r="V86" s="1" t="d">
        <v>2019-03-03T13:55:44.0000000875443225</v>
      </c>
      <c r="W86" t="s">
        <v>279</v>
      </c>
      <c r="X86">
        <v>3</v>
      </c>
      <c r="Y86">
        <v>2</v>
      </c>
      <c r="Z86">
        <v>3</v>
      </c>
      <c r="AA86">
        <v>3</v>
      </c>
      <c r="AB86">
        <v>4</v>
      </c>
      <c r="AC86">
        <v>3</v>
      </c>
      <c r="AD86">
        <v>3</v>
      </c>
      <c r="AE86">
        <v>4</v>
      </c>
      <c r="AF86" s="2">
        <v>3</v>
      </c>
      <c r="AG86" s="2">
        <v>2</v>
      </c>
      <c r="AH86" s="2">
        <v>4</v>
      </c>
      <c r="AI86">
        <v>4</v>
      </c>
      <c r="AJ86">
        <v>4</v>
      </c>
      <c r="AK86">
        <v>3</v>
      </c>
      <c r="AY86">
        <v>40.513668484999997</v>
      </c>
      <c r="AZ86">
        <v>43.537817234999999</v>
      </c>
      <c r="BA86">
        <v>37.770360987499998</v>
      </c>
      <c r="BB86">
        <v>44.792526046500001</v>
      </c>
    </row>
    <row r="87" spans="1:54" x14ac:dyDescent="0.25">
      <c r="A87">
        <v>86</v>
      </c>
      <c r="B87" t="s">
        <v>280</v>
      </c>
      <c r="C87" t="s">
        <v>40</v>
      </c>
      <c r="D87" s="1" t="d">
        <v>2018-10-09T11:58:46.00000030361115900</v>
      </c>
      <c r="E87" s="1" t="d">
        <v>2018-10-09T12:26:51.0000000335276100</v>
      </c>
      <c r="F87" t="s">
        <v>281</v>
      </c>
      <c r="G87">
        <v>2</v>
      </c>
      <c r="H87">
        <v>2</v>
      </c>
      <c r="I87">
        <v>2</v>
      </c>
      <c r="J87">
        <v>3</v>
      </c>
      <c r="K87">
        <v>3</v>
      </c>
      <c r="L87">
        <v>4</v>
      </c>
      <c r="M87">
        <v>4</v>
      </c>
      <c r="N87">
        <v>3</v>
      </c>
      <c r="O87" s="2">
        <v>3</v>
      </c>
      <c r="P87" s="2">
        <v>2</v>
      </c>
      <c r="Q87" s="2">
        <v>4</v>
      </c>
      <c r="R87">
        <v>4</v>
      </c>
      <c r="S87">
        <v>3</v>
      </c>
      <c r="T87">
        <v>4</v>
      </c>
      <c r="U87" s="1" t="d">
        <v>2019-03-14T00:00:17.000000202096998550</v>
      </c>
      <c r="V87" s="1" t="d">
        <v>2019-03-14T00:23:38.00000017974525675</v>
      </c>
      <c r="W87" t="s">
        <v>282</v>
      </c>
      <c r="X87">
        <v>2</v>
      </c>
      <c r="Y87">
        <v>2</v>
      </c>
      <c r="Z87">
        <v>2</v>
      </c>
      <c r="AA87">
        <v>2</v>
      </c>
      <c r="AB87">
        <v>2</v>
      </c>
      <c r="AC87">
        <v>3</v>
      </c>
      <c r="AD87">
        <v>3</v>
      </c>
      <c r="AE87">
        <v>3</v>
      </c>
      <c r="AF87" s="2">
        <v>3</v>
      </c>
      <c r="AG87" s="2">
        <v>3</v>
      </c>
      <c r="AH87" s="2">
        <v>3</v>
      </c>
      <c r="AI87">
        <v>3</v>
      </c>
      <c r="AJ87">
        <v>3</v>
      </c>
      <c r="AK87">
        <v>4</v>
      </c>
      <c r="AY87">
        <v>43.434769930000002</v>
      </c>
      <c r="AZ87">
        <v>39.933933619000001</v>
      </c>
      <c r="BA87">
        <v>45.187015865500001</v>
      </c>
      <c r="BB87">
        <v>36.786795261000002</v>
      </c>
    </row>
    <row r="88" spans="1:54" x14ac:dyDescent="0.25">
      <c r="A88">
        <v>87</v>
      </c>
      <c r="B88" t="s">
        <v>283</v>
      </c>
      <c r="C88" t="s">
        <v>111</v>
      </c>
      <c r="D88" s="1" t="d">
        <v>2018-09-21T11:55:43.00000027287751200</v>
      </c>
      <c r="E88" s="1" t="d">
        <v>2018-09-21T12:35:10.99999998696148575</v>
      </c>
      <c r="F88" t="s">
        <v>284</v>
      </c>
      <c r="G88">
        <v>3</v>
      </c>
      <c r="H88">
        <v>3</v>
      </c>
      <c r="I88">
        <v>3</v>
      </c>
      <c r="J88">
        <v>4</v>
      </c>
      <c r="K88">
        <v>5</v>
      </c>
      <c r="L88">
        <v>4</v>
      </c>
      <c r="M88">
        <v>3</v>
      </c>
      <c r="N88">
        <v>5</v>
      </c>
      <c r="O88" s="2">
        <v>1</v>
      </c>
      <c r="P88" s="2">
        <v>2</v>
      </c>
      <c r="Q88" s="2">
        <v>5</v>
      </c>
      <c r="R88">
        <v>5</v>
      </c>
      <c r="S88">
        <v>1</v>
      </c>
      <c r="T88">
        <v>3</v>
      </c>
      <c r="U88" s="1" t="d">
        <v>2019-03-01T06:52:19.00000015273690050</v>
      </c>
      <c r="V88" s="1" t="d">
        <v>2019-03-01T07:15:21.99999969452619225</v>
      </c>
      <c r="W88" t="s">
        <v>285</v>
      </c>
      <c r="X88">
        <v>3</v>
      </c>
      <c r="Y88">
        <v>3</v>
      </c>
      <c r="Z88">
        <v>2</v>
      </c>
      <c r="AA88">
        <v>5</v>
      </c>
      <c r="AB88">
        <v>5</v>
      </c>
      <c r="AC88">
        <v>5</v>
      </c>
      <c r="AD88">
        <v>3</v>
      </c>
      <c r="AE88">
        <v>5</v>
      </c>
      <c r="AF88" s="2">
        <v>2</v>
      </c>
      <c r="AG88" s="2">
        <v>1</v>
      </c>
      <c r="AH88" s="2">
        <v>3</v>
      </c>
      <c r="AI88">
        <v>5</v>
      </c>
      <c r="AJ88">
        <v>2</v>
      </c>
      <c r="AK88">
        <v>3</v>
      </c>
      <c r="AY88">
        <v>32.81936563</v>
      </c>
      <c r="AZ88">
        <v>51.783622412</v>
      </c>
      <c r="BA88">
        <v>32.307182161999997</v>
      </c>
      <c r="BB88">
        <v>44.049881370999998</v>
      </c>
    </row>
    <row r="89" spans="1:54" x14ac:dyDescent="0.25">
      <c r="A89">
        <v>88</v>
      </c>
      <c r="B89" t="s">
        <v>286</v>
      </c>
      <c r="C89" t="s">
        <v>111</v>
      </c>
      <c r="D89" s="1" t="d">
        <v>2018-09-14T09:24:56.99999978765845425</v>
      </c>
      <c r="E89" s="1" t="d">
        <v>2018-09-14T09:54:47.99999977927655175</v>
      </c>
      <c r="F89" t="s">
        <v>287</v>
      </c>
      <c r="G89">
        <v>4</v>
      </c>
      <c r="H89">
        <v>1</v>
      </c>
      <c r="I89">
        <v>1</v>
      </c>
      <c r="J89">
        <v>3</v>
      </c>
      <c r="K89">
        <v>3</v>
      </c>
      <c r="L89">
        <v>4</v>
      </c>
      <c r="M89">
        <v>4</v>
      </c>
      <c r="N89">
        <v>3</v>
      </c>
      <c r="O89" s="2">
        <v>3</v>
      </c>
      <c r="P89" s="2">
        <v>3</v>
      </c>
      <c r="Q89" s="2">
        <v>3</v>
      </c>
      <c r="R89">
        <v>3</v>
      </c>
      <c r="S89">
        <v>2</v>
      </c>
      <c r="T89">
        <v>1</v>
      </c>
      <c r="U89" s="1" t="d">
        <v>2019-02-11T09:01:03.000000268220901600</v>
      </c>
      <c r="V89" s="1" t="d">
        <v>2019-02-11T09:14:48.00000012852251400</v>
      </c>
      <c r="W89" t="s">
        <v>288</v>
      </c>
      <c r="X89">
        <v>3</v>
      </c>
      <c r="Y89">
        <v>2</v>
      </c>
      <c r="Z89">
        <v>2</v>
      </c>
      <c r="AA89">
        <v>3</v>
      </c>
      <c r="AB89">
        <v>3</v>
      </c>
      <c r="AC89">
        <v>3</v>
      </c>
      <c r="AD89">
        <v>3</v>
      </c>
      <c r="AE89">
        <v>3</v>
      </c>
      <c r="AF89" s="2">
        <v>3</v>
      </c>
      <c r="AG89" s="2">
        <v>3</v>
      </c>
      <c r="AH89" s="2">
        <v>3</v>
      </c>
      <c r="AI89">
        <v>3</v>
      </c>
      <c r="AJ89">
        <v>3</v>
      </c>
      <c r="AK89">
        <v>3</v>
      </c>
      <c r="AY89">
        <v>32.8797705705</v>
      </c>
      <c r="AZ89">
        <v>36.243062833499998</v>
      </c>
      <c r="BA89">
        <v>39.584407243000001</v>
      </c>
      <c r="BB89">
        <v>38.055336586000003</v>
      </c>
    </row>
    <row r="90" spans="1:54" x14ac:dyDescent="0.25">
      <c r="A90">
        <v>89</v>
      </c>
      <c r="B90" t="s">
        <v>289</v>
      </c>
      <c r="C90" t="s">
        <v>111</v>
      </c>
      <c r="D90" s="1" t="d">
        <v>2018-10-19T09:07:54.00000016205013075</v>
      </c>
      <c r="E90" s="1" t="d">
        <v>2018-10-19T10:38:51.00000028498470525</v>
      </c>
      <c r="F90" t="s">
        <v>290</v>
      </c>
      <c r="G90">
        <v>3</v>
      </c>
      <c r="H90">
        <v>2</v>
      </c>
      <c r="I90">
        <v>2</v>
      </c>
      <c r="J90">
        <v>3</v>
      </c>
      <c r="K90">
        <v>3</v>
      </c>
      <c r="L90">
        <v>4</v>
      </c>
      <c r="M90">
        <v>4</v>
      </c>
      <c r="N90">
        <v>4</v>
      </c>
      <c r="O90" s="2">
        <v>3</v>
      </c>
      <c r="P90" s="2">
        <v>2</v>
      </c>
      <c r="Q90" s="2">
        <v>3</v>
      </c>
      <c r="R90">
        <v>4</v>
      </c>
      <c r="S90">
        <v>3</v>
      </c>
      <c r="T90">
        <v>2</v>
      </c>
      <c r="U90" s="1" t="d">
        <v>2019-03-04T22:16:16.99999997857958325</v>
      </c>
      <c r="V90" s="1" t="d">
        <v>2019-03-04T22:53:46.00000016391277275</v>
      </c>
      <c r="W90" t="s">
        <v>291</v>
      </c>
      <c r="X90">
        <v>3</v>
      </c>
      <c r="Y90">
        <v>2</v>
      </c>
      <c r="Z90">
        <v>2</v>
      </c>
      <c r="AA90">
        <v>3</v>
      </c>
      <c r="AB90">
        <v>3</v>
      </c>
      <c r="AC90">
        <v>2</v>
      </c>
      <c r="AD90">
        <v>2</v>
      </c>
      <c r="AE90">
        <v>4</v>
      </c>
      <c r="AF90" s="2">
        <v>3</v>
      </c>
      <c r="AG90" s="2">
        <v>3</v>
      </c>
      <c r="AH90" s="2">
        <v>4</v>
      </c>
      <c r="AI90">
        <v>4</v>
      </c>
      <c r="AJ90">
        <v>2</v>
      </c>
      <c r="AK90">
        <v>2</v>
      </c>
      <c r="AY90">
        <v>39.196335787499997</v>
      </c>
      <c r="AZ90">
        <v>37.578538103</v>
      </c>
      <c r="BA90">
        <v>33.036348365499997</v>
      </c>
      <c r="BB90">
        <v>49.555496022</v>
      </c>
    </row>
    <row r="91" spans="1:54" x14ac:dyDescent="0.25">
      <c r="A91">
        <v>90</v>
      </c>
      <c r="B91" t="s">
        <v>292</v>
      </c>
      <c r="C91" t="s">
        <v>40</v>
      </c>
      <c r="D91" s="1" t="d">
        <v>2018-09-12T09:04:06.999999904073775</v>
      </c>
      <c r="E91" s="1" t="d">
        <v>2018-09-14T08:35:16.99999971315264600</v>
      </c>
      <c r="F91" t="s">
        <v>293</v>
      </c>
      <c r="G91">
        <v>2</v>
      </c>
      <c r="H91">
        <v>2</v>
      </c>
      <c r="I91">
        <v>2</v>
      </c>
      <c r="J91">
        <v>3</v>
      </c>
      <c r="K91">
        <v>3</v>
      </c>
      <c r="L91">
        <v>4</v>
      </c>
      <c r="M91">
        <v>4</v>
      </c>
      <c r="N91">
        <v>3</v>
      </c>
      <c r="O91" s="2">
        <v>2</v>
      </c>
      <c r="P91" s="2">
        <v>2</v>
      </c>
      <c r="Q91" s="2">
        <v>5</v>
      </c>
      <c r="R91">
        <v>2</v>
      </c>
      <c r="S91">
        <v>2</v>
      </c>
      <c r="T91">
        <v>1</v>
      </c>
      <c r="U91" s="1" t="d">
        <v>2019-02-09T21:10:25.00000025611370700</v>
      </c>
      <c r="V91" s="1" t="d">
        <v>2019-02-09T21:52:49.99999985564500200</v>
      </c>
      <c r="W91" t="s">
        <v>294</v>
      </c>
      <c r="X91">
        <v>3</v>
      </c>
      <c r="Y91">
        <v>3</v>
      </c>
      <c r="Z91">
        <v>1</v>
      </c>
      <c r="AA91">
        <v>3</v>
      </c>
      <c r="AB91">
        <v>4</v>
      </c>
      <c r="AC91">
        <v>4</v>
      </c>
      <c r="AD91">
        <v>3</v>
      </c>
      <c r="AE91">
        <v>4</v>
      </c>
      <c r="AF91" s="2">
        <v>2</v>
      </c>
      <c r="AG91" s="2">
        <v>3</v>
      </c>
      <c r="AH91" s="2">
        <v>4</v>
      </c>
      <c r="AI91">
        <v>4</v>
      </c>
      <c r="AJ91">
        <v>4</v>
      </c>
      <c r="AK91">
        <v>4</v>
      </c>
      <c r="AY91">
        <v>41.288800774999999</v>
      </c>
      <c r="AZ91">
        <v>39.681009656000001</v>
      </c>
      <c r="BA91">
        <v>33.532288200499998</v>
      </c>
      <c r="BB91">
        <v>43.8077824955</v>
      </c>
    </row>
    <row r="92" spans="1:54" x14ac:dyDescent="0.25">
      <c r="A92">
        <v>91</v>
      </c>
      <c r="B92" t="s">
        <v>295</v>
      </c>
      <c r="C92" t="s">
        <v>40</v>
      </c>
      <c r="D92" s="1" t="d">
        <v>2018-10-05T07:37:41.99999987147748600</v>
      </c>
      <c r="E92" s="1" t="d">
        <v>2018-10-05T08:24:23.00000022165477600</v>
      </c>
      <c r="F92" t="s">
        <v>296</v>
      </c>
      <c r="G92">
        <v>2</v>
      </c>
      <c r="H92">
        <v>3</v>
      </c>
      <c r="I92">
        <v>3</v>
      </c>
      <c r="J92">
        <v>5</v>
      </c>
      <c r="K92">
        <v>5</v>
      </c>
      <c r="L92">
        <v>5</v>
      </c>
      <c r="M92">
        <v>5</v>
      </c>
      <c r="N92">
        <v>4</v>
      </c>
      <c r="O92" s="2">
        <v>1</v>
      </c>
      <c r="P92" s="2">
        <v>1</v>
      </c>
      <c r="Q92" s="2">
        <v>5</v>
      </c>
      <c r="R92">
        <v>5</v>
      </c>
      <c r="S92">
        <v>1</v>
      </c>
      <c r="T92">
        <v>3</v>
      </c>
      <c r="U92" s="1" t="d">
        <v>2019-02-23T17:57:08.00000002607703525</v>
      </c>
      <c r="V92" s="1" t="d">
        <v>2019-02-23T19:27:03.99999971967190650</v>
      </c>
      <c r="W92" t="s">
        <v>297</v>
      </c>
      <c r="X92">
        <v>3</v>
      </c>
      <c r="Y92">
        <v>2</v>
      </c>
      <c r="Z92">
        <v>3</v>
      </c>
      <c r="AA92">
        <v>5</v>
      </c>
      <c r="AB92">
        <v>4</v>
      </c>
      <c r="AC92">
        <v>5</v>
      </c>
      <c r="AD92">
        <v>2</v>
      </c>
      <c r="AE92">
        <v>5</v>
      </c>
      <c r="AF92" s="2">
        <v>3</v>
      </c>
      <c r="AG92" s="2">
        <v>2</v>
      </c>
      <c r="AH92" s="2">
        <v>4</v>
      </c>
      <c r="AI92">
        <v>4</v>
      </c>
      <c r="AJ92">
        <v>3</v>
      </c>
      <c r="AK92">
        <v>4</v>
      </c>
      <c r="AY92">
        <v>39.9853848395</v>
      </c>
      <c r="AZ92">
        <v>45.958549914000002</v>
      </c>
      <c r="BA92">
        <v>32.909286307499997</v>
      </c>
      <c r="BB92">
        <v>42.347989433999999</v>
      </c>
    </row>
    <row r="93" spans="1:54" x14ac:dyDescent="0.25">
      <c r="A93">
        <v>92</v>
      </c>
      <c r="B93" t="s">
        <v>298</v>
      </c>
      <c r="C93" t="s">
        <v>40</v>
      </c>
      <c r="D93" s="1" t="d">
        <v>2018-10-15T15:17:16.99999975506216525</v>
      </c>
      <c r="E93" s="1" t="d">
        <v>2018-10-15T15:56:54.999999920837581350</v>
      </c>
      <c r="F93" t="s">
        <v>299</v>
      </c>
      <c r="G93">
        <v>1</v>
      </c>
      <c r="H93">
        <v>2</v>
      </c>
      <c r="I93">
        <v>3</v>
      </c>
      <c r="J93">
        <v>5</v>
      </c>
      <c r="K93">
        <v>5</v>
      </c>
      <c r="L93">
        <v>5</v>
      </c>
      <c r="M93">
        <v>3</v>
      </c>
      <c r="N93">
        <v>4</v>
      </c>
      <c r="O93" s="2">
        <v>3</v>
      </c>
      <c r="P93" s="2">
        <v>1</v>
      </c>
      <c r="Q93" s="2">
        <v>6</v>
      </c>
      <c r="R93">
        <v>4</v>
      </c>
      <c r="S93">
        <v>2</v>
      </c>
      <c r="T93">
        <v>2</v>
      </c>
      <c r="U93" s="1" t="d">
        <v>2019-03-18T09:55:11.99999973177909975</v>
      </c>
      <c r="V93" s="1" t="d">
        <v>2019-03-18T10:29:48.99999994318932450</v>
      </c>
      <c r="W93" t="s">
        <v>300</v>
      </c>
      <c r="X93">
        <v>1</v>
      </c>
      <c r="Y93">
        <v>3</v>
      </c>
      <c r="Z93">
        <v>3</v>
      </c>
      <c r="AA93">
        <v>5</v>
      </c>
      <c r="AB93">
        <v>5</v>
      </c>
      <c r="AC93">
        <v>5</v>
      </c>
      <c r="AD93">
        <v>3</v>
      </c>
      <c r="AE93">
        <v>5</v>
      </c>
      <c r="AF93" s="2">
        <v>5</v>
      </c>
      <c r="AG93" s="2">
        <v>3</v>
      </c>
      <c r="AH93" s="2">
        <v>3</v>
      </c>
      <c r="AI93">
        <v>2</v>
      </c>
      <c r="AJ93">
        <v>1</v>
      </c>
      <c r="AK93">
        <v>4</v>
      </c>
      <c r="AY93">
        <v>36.806507398500003</v>
      </c>
      <c r="AZ93">
        <v>47.660263420500002</v>
      </c>
      <c r="BA93">
        <v>40.1793114245</v>
      </c>
      <c r="BB93">
        <v>24.949784446500001</v>
      </c>
    </row>
    <row r="94" spans="1:54" x14ac:dyDescent="0.25">
      <c r="A94">
        <v>93</v>
      </c>
      <c r="B94" t="s">
        <v>301</v>
      </c>
      <c r="C94" t="s">
        <v>40</v>
      </c>
      <c r="D94" s="1" t="d">
        <v>2018-10-09T13:02:35.00000019092112900</v>
      </c>
      <c r="E94" s="1" t="d">
        <v>2018-10-09T13:45:18.99999983143061550</v>
      </c>
      <c r="F94" t="s">
        <v>302</v>
      </c>
      <c r="G94">
        <v>2</v>
      </c>
      <c r="H94">
        <v>1</v>
      </c>
      <c r="I94">
        <v>2</v>
      </c>
      <c r="J94">
        <v>1</v>
      </c>
      <c r="K94">
        <v>3</v>
      </c>
      <c r="L94">
        <v>3</v>
      </c>
      <c r="M94">
        <v>3</v>
      </c>
      <c r="N94">
        <v>4</v>
      </c>
      <c r="O94" s="2">
        <v>2</v>
      </c>
      <c r="P94" s="2">
        <v>3</v>
      </c>
      <c r="Q94" s="2">
        <v>4</v>
      </c>
      <c r="R94">
        <v>4</v>
      </c>
      <c r="S94">
        <v>2</v>
      </c>
      <c r="T94">
        <v>1</v>
      </c>
      <c r="U94" s="1" t="d">
        <v>2019-03-24T19:45:23.00000013783574425</v>
      </c>
      <c r="V94" s="1" t="d">
        <v>2019-03-24T20:28:41.00000018253922650</v>
      </c>
      <c r="W94" t="s">
        <v>303</v>
      </c>
      <c r="X94">
        <v>3</v>
      </c>
      <c r="Y94">
        <v>2</v>
      </c>
      <c r="Z94">
        <v>1</v>
      </c>
      <c r="AA94">
        <v>1</v>
      </c>
      <c r="AB94">
        <v>2</v>
      </c>
      <c r="AC94">
        <v>2</v>
      </c>
      <c r="AD94">
        <v>2</v>
      </c>
      <c r="AE94">
        <v>3</v>
      </c>
      <c r="AF94" s="2">
        <v>4</v>
      </c>
      <c r="AG94" s="2">
        <v>5</v>
      </c>
      <c r="AH94" s="2">
        <v>3</v>
      </c>
      <c r="AI94">
        <v>3</v>
      </c>
      <c r="AJ94">
        <v>4</v>
      </c>
      <c r="AK94">
        <v>4</v>
      </c>
      <c r="AY94">
        <v>36.722791473000001</v>
      </c>
      <c r="AZ94">
        <v>47.0480639755</v>
      </c>
      <c r="BA94">
        <v>38.684144218999997</v>
      </c>
      <c r="BB94">
        <v>37.982918953499997</v>
      </c>
    </row>
    <row r="95" spans="1:54" x14ac:dyDescent="0.25">
      <c r="A95">
        <v>94</v>
      </c>
      <c r="B95" t="s">
        <v>304</v>
      </c>
      <c r="C95" t="s">
        <v>40</v>
      </c>
      <c r="D95" s="1" t="d">
        <v>2018-10-22T11:47:30.00000006984918975</v>
      </c>
      <c r="E95" s="1" t="d">
        <v>2018-10-22T19:01:09.00000020395964325</v>
      </c>
      <c r="F95" t="s">
        <v>305</v>
      </c>
      <c r="G95">
        <v>3</v>
      </c>
      <c r="H95">
        <v>2</v>
      </c>
      <c r="I95">
        <v>1</v>
      </c>
      <c r="J95">
        <v>4</v>
      </c>
      <c r="K95">
        <v>4</v>
      </c>
      <c r="L95">
        <v>4</v>
      </c>
      <c r="M95">
        <v>4</v>
      </c>
      <c r="N95">
        <v>3</v>
      </c>
      <c r="O95" s="2">
        <v>3</v>
      </c>
      <c r="P95" s="2">
        <v>3</v>
      </c>
      <c r="Q95" s="2">
        <v>2</v>
      </c>
      <c r="R95">
        <v>3</v>
      </c>
      <c r="S95">
        <v>2</v>
      </c>
      <c r="T95">
        <v>3</v>
      </c>
      <c r="AY95">
        <v>35.510229332999998</v>
      </c>
      <c r="AZ95">
        <v>32.703297542500003</v>
      </c>
    </row>
    <row r="96" spans="1:54" x14ac:dyDescent="0.25">
      <c r="A96">
        <v>95</v>
      </c>
      <c r="B96" t="s">
        <v>306</v>
      </c>
      <c r="C96" t="s">
        <v>40</v>
      </c>
      <c r="D96" s="1" t="d">
        <v>2018-10-10T14:55:05.00000019092112900</v>
      </c>
      <c r="E96" s="1" t="d">
        <v>2018-10-10T15:34:37.9999998165294525</v>
      </c>
      <c r="F96" t="s">
        <v>307</v>
      </c>
      <c r="G96">
        <v>3</v>
      </c>
      <c r="H96">
        <v>2</v>
      </c>
      <c r="I96">
        <v>2</v>
      </c>
      <c r="J96">
        <v>4</v>
      </c>
      <c r="K96">
        <v>3</v>
      </c>
      <c r="L96">
        <v>3</v>
      </c>
      <c r="M96">
        <v>3</v>
      </c>
      <c r="N96">
        <v>2</v>
      </c>
      <c r="O96" s="2">
        <v>4</v>
      </c>
      <c r="P96" s="2">
        <v>3</v>
      </c>
      <c r="Q96" s="2">
        <v>3</v>
      </c>
      <c r="R96">
        <v>5</v>
      </c>
      <c r="S96">
        <v>2</v>
      </c>
      <c r="T96">
        <v>1</v>
      </c>
      <c r="U96" s="1" t="d">
        <v>2019-03-12T23:43:55.00000010244548550</v>
      </c>
      <c r="V96" s="1" t="d">
        <v>2019-03-13T12:13:20.99999990779906575</v>
      </c>
      <c r="W96" t="s">
        <v>308</v>
      </c>
      <c r="X96">
        <v>4</v>
      </c>
      <c r="Y96">
        <v>1</v>
      </c>
      <c r="Z96">
        <v>1</v>
      </c>
      <c r="AA96">
        <v>2</v>
      </c>
      <c r="AB96">
        <v>2</v>
      </c>
      <c r="AC96">
        <v>2</v>
      </c>
      <c r="AD96">
        <v>2</v>
      </c>
      <c r="AE96">
        <v>3</v>
      </c>
      <c r="AF96" s="2">
        <v>5</v>
      </c>
      <c r="AG96" s="2">
        <v>3</v>
      </c>
      <c r="AH96" s="2">
        <v>2</v>
      </c>
      <c r="AI96">
        <v>2</v>
      </c>
      <c r="AJ96">
        <v>4</v>
      </c>
      <c r="AK96">
        <v>5</v>
      </c>
      <c r="AY96">
        <v>42.220055383000002</v>
      </c>
      <c r="AZ96">
        <v>41.315891690000001</v>
      </c>
      <c r="BA96">
        <v>34.681190207999997</v>
      </c>
      <c r="BB96">
        <v>35.297088543000001</v>
      </c>
    </row>
    <row r="97" spans="1:54" x14ac:dyDescent="0.25">
      <c r="A97">
        <v>96</v>
      </c>
      <c r="B97" t="s">
        <v>309</v>
      </c>
      <c r="C97" t="s">
        <v>40</v>
      </c>
      <c r="D97" s="1" t="d">
        <v>2018-10-30T16:43:20.00000030267983800</v>
      </c>
      <c r="E97" s="1" t="d">
        <v>2018-10-30T17:13:00.99999984260648775</v>
      </c>
      <c r="F97" t="s">
        <v>310</v>
      </c>
      <c r="G97">
        <v>2</v>
      </c>
      <c r="H97">
        <v>2</v>
      </c>
      <c r="I97">
        <v>3</v>
      </c>
      <c r="J97">
        <v>4</v>
      </c>
      <c r="K97">
        <v>4</v>
      </c>
      <c r="L97">
        <v>4</v>
      </c>
      <c r="M97">
        <v>4</v>
      </c>
      <c r="N97">
        <v>3</v>
      </c>
      <c r="O97" s="2">
        <v>2</v>
      </c>
      <c r="P97" s="2">
        <v>1</v>
      </c>
      <c r="Q97" s="2">
        <v>5</v>
      </c>
      <c r="R97">
        <v>4</v>
      </c>
      <c r="S97">
        <v>2</v>
      </c>
      <c r="T97">
        <v>3</v>
      </c>
      <c r="U97" s="1" t="d">
        <v>2019-06-12T12:22:36.0000001452863216325</v>
      </c>
      <c r="V97" s="1" t="d">
        <v>2019-06-12T12:48:39.9999998789280675</v>
      </c>
      <c r="W97" t="s">
        <v>311</v>
      </c>
      <c r="X97">
        <v>2</v>
      </c>
      <c r="Y97">
        <v>2</v>
      </c>
      <c r="Z97">
        <v>2</v>
      </c>
      <c r="AA97">
        <v>4</v>
      </c>
      <c r="AB97">
        <v>3</v>
      </c>
      <c r="AC97">
        <v>4</v>
      </c>
      <c r="AD97">
        <v>3</v>
      </c>
      <c r="AE97">
        <v>4</v>
      </c>
      <c r="AF97" s="2">
        <v>3</v>
      </c>
      <c r="AG97" s="2">
        <v>3</v>
      </c>
      <c r="AH97" s="2">
        <v>3</v>
      </c>
      <c r="AI97">
        <v>4</v>
      </c>
      <c r="AJ97">
        <v>3</v>
      </c>
      <c r="AK97">
        <v>4</v>
      </c>
      <c r="AY97">
        <v>42.214171411999999</v>
      </c>
      <c r="AZ97">
        <v>46.165010342999999</v>
      </c>
      <c r="BA97">
        <v>37.954096618000001</v>
      </c>
      <c r="BB97">
        <v>38.818243748500002</v>
      </c>
    </row>
    <row r="98" spans="1:54" x14ac:dyDescent="0.25">
      <c r="A98">
        <v>97</v>
      </c>
      <c r="B98" t="s">
        <v>312</v>
      </c>
      <c r="C98" t="s">
        <v>40</v>
      </c>
      <c r="D98" s="1" t="d">
        <v>2018-11-05T17:35:56.00000002887099825</v>
      </c>
      <c r="E98" s="1" t="d">
        <v>2018-11-05T18:27:35.99999986588954650</v>
      </c>
      <c r="F98" t="s">
        <v>313</v>
      </c>
      <c r="G98">
        <v>2</v>
      </c>
      <c r="H98">
        <v>2</v>
      </c>
      <c r="I98">
        <v>3</v>
      </c>
      <c r="J98">
        <v>3</v>
      </c>
      <c r="K98">
        <v>3</v>
      </c>
      <c r="L98">
        <v>3</v>
      </c>
      <c r="M98">
        <v>3</v>
      </c>
      <c r="N98">
        <v>3</v>
      </c>
      <c r="O98" s="2">
        <v>2</v>
      </c>
      <c r="P98" s="2">
        <v>2</v>
      </c>
      <c r="Q98" s="2">
        <v>3</v>
      </c>
      <c r="R98">
        <v>2</v>
      </c>
      <c r="S98">
        <v>4</v>
      </c>
      <c r="T98">
        <v>4</v>
      </c>
      <c r="U98" s="1" t="d">
        <v>2019-04-02T21:23:57.99999982584267600</v>
      </c>
      <c r="V98" s="1" t="d">
        <v>2019-04-02T22:13:42.00000020675361300</v>
      </c>
      <c r="W98" t="s">
        <v>314</v>
      </c>
      <c r="X98">
        <v>2</v>
      </c>
      <c r="Y98">
        <v>2</v>
      </c>
      <c r="Z98">
        <v>3</v>
      </c>
      <c r="AA98">
        <v>4</v>
      </c>
      <c r="AB98">
        <v>4</v>
      </c>
      <c r="AC98">
        <v>4</v>
      </c>
      <c r="AD98">
        <v>4</v>
      </c>
      <c r="AE98">
        <v>2</v>
      </c>
      <c r="AF98" s="2">
        <v>3</v>
      </c>
      <c r="AG98" s="2">
        <v>2</v>
      </c>
      <c r="AH98" s="2">
        <v>5</v>
      </c>
      <c r="AI98">
        <v>3</v>
      </c>
      <c r="AJ98">
        <v>3</v>
      </c>
      <c r="AK98">
        <v>2</v>
      </c>
      <c r="AY98">
        <v>44.91842338</v>
      </c>
      <c r="AZ98">
        <v>37.315958151499999</v>
      </c>
      <c r="BA98">
        <v>45.697160247500001</v>
      </c>
      <c r="BB98">
        <v>39.264677542500003</v>
      </c>
    </row>
    <row r="99" spans="1:54" x14ac:dyDescent="0.25">
      <c r="A99">
        <v>98</v>
      </c>
      <c r="B99" t="s">
        <v>315</v>
      </c>
      <c r="C99" t="s">
        <v>40</v>
      </c>
      <c r="D99" s="1" t="d">
        <v>2018-10-30T08:07:13.0000002169981575</v>
      </c>
      <c r="E99" s="1" t="d">
        <v>2018-10-30T15:04:41.99999991338699850</v>
      </c>
      <c r="F99" t="s">
        <v>316</v>
      </c>
      <c r="G99">
        <v>2</v>
      </c>
      <c r="H99">
        <v>1</v>
      </c>
      <c r="I99">
        <v>2</v>
      </c>
      <c r="J99">
        <v>4</v>
      </c>
      <c r="K99">
        <v>5</v>
      </c>
      <c r="L99">
        <v>4</v>
      </c>
      <c r="M99">
        <v>4</v>
      </c>
      <c r="N99">
        <v>2</v>
      </c>
      <c r="O99" s="2">
        <v>2</v>
      </c>
      <c r="P99" s="2">
        <v>2</v>
      </c>
      <c r="Q99" s="2">
        <v>4</v>
      </c>
      <c r="R99">
        <v>4</v>
      </c>
      <c r="S99">
        <v>1</v>
      </c>
      <c r="T99">
        <v>1</v>
      </c>
      <c r="U99" s="1" t="d">
        <v>2019-03-29T16:44:49.99999996740371100</v>
      </c>
      <c r="V99" s="1" t="d">
        <v>2019-03-29T17:20:35.99999996367842025</v>
      </c>
      <c r="W99" t="s">
        <v>317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 s="2">
        <v>4</v>
      </c>
      <c r="AG99" s="2">
        <v>3</v>
      </c>
      <c r="AH99" s="2">
        <v>3</v>
      </c>
      <c r="AI99">
        <v>2</v>
      </c>
      <c r="AJ99">
        <v>4</v>
      </c>
      <c r="AK99">
        <v>3</v>
      </c>
      <c r="AY99">
        <v>37.182552035000001</v>
      </c>
      <c r="AZ99">
        <v>45.14970065</v>
      </c>
      <c r="BA99">
        <v>47.022703843000002</v>
      </c>
      <c r="BB99">
        <v>36.46396644</v>
      </c>
    </row>
    <row r="100" spans="1:54" x14ac:dyDescent="0.25">
      <c r="A100">
        <v>99</v>
      </c>
      <c r="B100" t="s">
        <v>318</v>
      </c>
      <c r="C100" t="s">
        <v>40</v>
      </c>
      <c r="D100" s="1" t="d">
        <v>2018-11-07T19:04:06.00000008940696450</v>
      </c>
      <c r="E100" s="1" t="d">
        <v>2018-11-07T22:02:16.0000001499429375</v>
      </c>
      <c r="F100" t="s">
        <v>319</v>
      </c>
      <c r="G100">
        <v>3</v>
      </c>
      <c r="H100">
        <v>1</v>
      </c>
      <c r="I100">
        <v>1</v>
      </c>
      <c r="J100">
        <v>5</v>
      </c>
      <c r="K100">
        <v>4</v>
      </c>
      <c r="L100">
        <v>5</v>
      </c>
      <c r="M100">
        <v>4</v>
      </c>
      <c r="N100">
        <v>4</v>
      </c>
      <c r="O100" s="2">
        <v>4</v>
      </c>
      <c r="P100" s="2">
        <v>1</v>
      </c>
      <c r="Q100" s="2">
        <v>3</v>
      </c>
      <c r="R100">
        <v>3</v>
      </c>
      <c r="S100">
        <v>2</v>
      </c>
      <c r="T100">
        <v>2</v>
      </c>
      <c r="U100" s="1" t="d">
        <v>2019-04-01T18:55:11.00000012665987200</v>
      </c>
      <c r="V100" s="1" t="d">
        <v>2019-04-01T20:01:07.99999976065009800</v>
      </c>
      <c r="W100" t="s">
        <v>320</v>
      </c>
      <c r="X100">
        <v>3</v>
      </c>
      <c r="Y100">
        <v>2</v>
      </c>
      <c r="Z100">
        <v>2</v>
      </c>
      <c r="AA100">
        <v>3</v>
      </c>
      <c r="AB100">
        <v>1</v>
      </c>
      <c r="AC100">
        <v>4</v>
      </c>
      <c r="AD100">
        <v>2</v>
      </c>
      <c r="AE100">
        <v>5</v>
      </c>
      <c r="AF100" s="2">
        <v>2</v>
      </c>
      <c r="AG100" s="2">
        <v>1</v>
      </c>
      <c r="AH100" s="2">
        <v>2</v>
      </c>
      <c r="AI100">
        <v>3</v>
      </c>
      <c r="AJ100">
        <v>2</v>
      </c>
      <c r="AK100">
        <v>4</v>
      </c>
      <c r="AY100">
        <v>29.534914517000001</v>
      </c>
      <c r="AZ100">
        <v>36.1261926265</v>
      </c>
      <c r="BA100">
        <v>38.644370917000003</v>
      </c>
      <c r="BB100">
        <v>38.873627597499997</v>
      </c>
    </row>
    <row r="101" spans="1:54" x14ac:dyDescent="0.25">
      <c r="A101">
        <v>100</v>
      </c>
      <c r="B101" t="s">
        <v>321</v>
      </c>
      <c r="C101" t="s">
        <v>40</v>
      </c>
      <c r="D101" s="1" t="d">
        <v>2018-11-14T06:50:59.00000031106174050</v>
      </c>
      <c r="E101" s="1" t="d">
        <v>2018-11-28T12:21:48.99999984540045075</v>
      </c>
      <c r="F101" t="s">
        <v>322</v>
      </c>
      <c r="U101" s="1" t="d">
        <v>2019-04-16T13:13:20.99999969825148300</v>
      </c>
      <c r="V101" s="1" t="d">
        <v>2019-04-16T13:54:10.99999972153454850</v>
      </c>
      <c r="W101" t="s">
        <v>323</v>
      </c>
      <c r="X101">
        <v>3</v>
      </c>
      <c r="Y101">
        <v>1</v>
      </c>
      <c r="Z101">
        <v>2</v>
      </c>
      <c r="AA101">
        <v>1</v>
      </c>
      <c r="AB101">
        <v>2</v>
      </c>
      <c r="AC101">
        <v>1</v>
      </c>
      <c r="AD101">
        <v>1</v>
      </c>
      <c r="AE101">
        <v>2</v>
      </c>
      <c r="AF101" s="2">
        <v>4</v>
      </c>
      <c r="AG101" s="2">
        <v>4</v>
      </c>
      <c r="AH101" s="2">
        <v>3</v>
      </c>
      <c r="AI101">
        <v>3</v>
      </c>
      <c r="AJ101">
        <v>3</v>
      </c>
      <c r="AK101">
        <v>3</v>
      </c>
      <c r="BA101">
        <v>40.874822201000001</v>
      </c>
      <c r="BB101">
        <v>44.147214108</v>
      </c>
    </row>
    <row r="102" spans="1:54" x14ac:dyDescent="0.25">
      <c r="A102">
        <v>101</v>
      </c>
      <c r="B102" t="s">
        <v>324</v>
      </c>
      <c r="C102" t="s">
        <v>40</v>
      </c>
      <c r="D102" s="1" t="d">
        <v>2018-11-08T14:38:27.000000122934579900</v>
      </c>
      <c r="E102" s="1" t="d">
        <v>2018-11-08T15:14:18.00000003073364700</v>
      </c>
      <c r="F102" t="s">
        <v>325</v>
      </c>
      <c r="G102">
        <v>1</v>
      </c>
      <c r="H102">
        <v>2</v>
      </c>
      <c r="I102">
        <v>1</v>
      </c>
      <c r="J102">
        <v>5</v>
      </c>
      <c r="K102">
        <v>2</v>
      </c>
      <c r="L102">
        <v>5</v>
      </c>
      <c r="M102">
        <v>5</v>
      </c>
      <c r="N102">
        <v>4</v>
      </c>
      <c r="O102" s="2">
        <v>1</v>
      </c>
      <c r="P102" s="2">
        <v>1</v>
      </c>
      <c r="Q102" s="2">
        <v>6</v>
      </c>
      <c r="R102">
        <v>5</v>
      </c>
      <c r="S102">
        <v>1</v>
      </c>
      <c r="T102">
        <v>1</v>
      </c>
      <c r="U102" s="1" t="d">
        <v>2019-04-06T06:54:26.99999989941716325</v>
      </c>
      <c r="V102" s="1" t="d">
        <v>2019-04-06T07:40:04.99999998137354625</v>
      </c>
      <c r="W102" t="s">
        <v>326</v>
      </c>
      <c r="X102">
        <v>3</v>
      </c>
      <c r="Y102">
        <v>2</v>
      </c>
      <c r="Z102">
        <v>1</v>
      </c>
      <c r="AA102">
        <v>3</v>
      </c>
      <c r="AB102">
        <v>1</v>
      </c>
      <c r="AC102">
        <v>2</v>
      </c>
      <c r="AD102">
        <v>4</v>
      </c>
      <c r="AE102">
        <v>4</v>
      </c>
      <c r="AF102" s="2">
        <v>5</v>
      </c>
      <c r="AG102" s="2">
        <v>1</v>
      </c>
      <c r="AH102" s="2">
        <v>3</v>
      </c>
      <c r="AI102">
        <v>2</v>
      </c>
      <c r="AJ102">
        <v>4</v>
      </c>
      <c r="AK102">
        <v>4</v>
      </c>
      <c r="AY102">
        <v>34.916668741000002</v>
      </c>
      <c r="AZ102">
        <v>52.016118304999999</v>
      </c>
      <c r="BA102">
        <v>38.347692729499997</v>
      </c>
      <c r="BB102">
        <v>35.842619417999998</v>
      </c>
    </row>
    <row r="103" spans="1:54" x14ac:dyDescent="0.25">
      <c r="A103">
        <v>102</v>
      </c>
      <c r="B103" t="s">
        <v>327</v>
      </c>
      <c r="C103" t="s">
        <v>40</v>
      </c>
      <c r="D103" s="1" t="d">
        <v>2018-11-12T22:43:46.00000009406358300</v>
      </c>
      <c r="E103" s="1" t="d">
        <v>2018-11-13T08:00:16.00000017788261475</v>
      </c>
      <c r="F103" t="s">
        <v>328</v>
      </c>
      <c r="G103">
        <v>2</v>
      </c>
      <c r="H103">
        <v>3</v>
      </c>
      <c r="I103">
        <v>2</v>
      </c>
      <c r="J103">
        <v>4</v>
      </c>
      <c r="K103">
        <v>4</v>
      </c>
      <c r="L103">
        <v>4</v>
      </c>
      <c r="M103">
        <v>4</v>
      </c>
      <c r="N103">
        <v>3</v>
      </c>
      <c r="O103" s="2">
        <v>2</v>
      </c>
      <c r="P103" s="2">
        <v>2</v>
      </c>
      <c r="Q103" s="2">
        <v>5</v>
      </c>
      <c r="R103">
        <v>4</v>
      </c>
      <c r="S103">
        <v>4</v>
      </c>
      <c r="T103">
        <v>3</v>
      </c>
      <c r="U103" s="1" t="d">
        <v>2019-06-03T17:00:27.00000023469329025</v>
      </c>
      <c r="V103" s="1" t="d">
        <v>2019-06-03T17:39:51.0000002710148700</v>
      </c>
      <c r="W103" t="s">
        <v>329</v>
      </c>
      <c r="X103">
        <v>3</v>
      </c>
      <c r="Y103">
        <v>2</v>
      </c>
      <c r="Z103">
        <v>2</v>
      </c>
      <c r="AA103">
        <v>4</v>
      </c>
      <c r="AB103">
        <v>4</v>
      </c>
      <c r="AC103">
        <v>4</v>
      </c>
      <c r="AD103">
        <v>4</v>
      </c>
      <c r="AE103">
        <v>3</v>
      </c>
      <c r="AF103" s="2">
        <v>2</v>
      </c>
      <c r="AG103" s="2">
        <v>3</v>
      </c>
      <c r="AH103" s="2">
        <v>5</v>
      </c>
      <c r="AI103">
        <v>4</v>
      </c>
      <c r="AJ103">
        <v>4</v>
      </c>
      <c r="AK103">
        <v>4</v>
      </c>
      <c r="AY103">
        <v>41.126186075</v>
      </c>
      <c r="AZ103">
        <v>44.580392240999998</v>
      </c>
      <c r="BA103">
        <v>35.3172968055</v>
      </c>
      <c r="BB103">
        <v>44.989680163999999</v>
      </c>
    </row>
    <row r="104" spans="1:54" x14ac:dyDescent="0.25">
      <c r="A104">
        <v>103</v>
      </c>
      <c r="B104" t="s">
        <v>330</v>
      </c>
      <c r="C104" t="s">
        <v>111</v>
      </c>
      <c r="D104" s="1" t="d">
        <v>2019-01-24T09:01:30.00000029336660775</v>
      </c>
      <c r="E104" s="1" t="d">
        <v>2019-01-24T09:40:38.9999999664723900</v>
      </c>
      <c r="F104" t="s">
        <v>331</v>
      </c>
      <c r="G104">
        <v>3</v>
      </c>
      <c r="H104">
        <v>1</v>
      </c>
      <c r="I104">
        <v>1</v>
      </c>
      <c r="J104">
        <v>4</v>
      </c>
      <c r="K104">
        <v>3</v>
      </c>
      <c r="L104">
        <v>4</v>
      </c>
      <c r="M104">
        <v>4</v>
      </c>
      <c r="N104">
        <v>3</v>
      </c>
      <c r="O104" s="2">
        <v>1</v>
      </c>
      <c r="P104" s="2">
        <v>2</v>
      </c>
      <c r="Q104" s="2">
        <v>5</v>
      </c>
      <c r="R104">
        <v>5</v>
      </c>
      <c r="S104">
        <v>3</v>
      </c>
      <c r="T104">
        <v>3</v>
      </c>
      <c r="U104" s="1" t="d">
        <v>2019-06-19T08:01:47.00000007636845025</v>
      </c>
      <c r="V104" s="1" t="d">
        <v>2019-06-19T10:26:31.00000017788261475</v>
      </c>
      <c r="W104" t="s">
        <v>332</v>
      </c>
      <c r="X104">
        <v>3</v>
      </c>
      <c r="Y104">
        <v>2</v>
      </c>
      <c r="Z104">
        <v>1</v>
      </c>
      <c r="AA104">
        <v>4</v>
      </c>
      <c r="AB104">
        <v>2</v>
      </c>
      <c r="AC104">
        <v>3</v>
      </c>
      <c r="AD104">
        <v>4</v>
      </c>
      <c r="AE104">
        <v>3</v>
      </c>
      <c r="AF104" s="2">
        <v>1</v>
      </c>
      <c r="AG104" s="2">
        <v>2</v>
      </c>
      <c r="AH104" s="2">
        <v>5</v>
      </c>
      <c r="AI104">
        <v>5</v>
      </c>
      <c r="AJ104">
        <v>3</v>
      </c>
      <c r="AK104">
        <v>2</v>
      </c>
      <c r="AY104">
        <v>30.042526785</v>
      </c>
      <c r="AZ104">
        <v>54.018212439499997</v>
      </c>
      <c r="BA104">
        <v>33.709624325</v>
      </c>
      <c r="BB104">
        <v>54.794126694500001</v>
      </c>
    </row>
    <row r="105" spans="1:54" x14ac:dyDescent="0.25">
      <c r="A105">
        <v>104</v>
      </c>
      <c r="B105" t="s">
        <v>333</v>
      </c>
      <c r="C105" t="s">
        <v>111</v>
      </c>
      <c r="D105" s="1" t="d">
        <v>2019-01-20T12:00:22.000000113621354375</v>
      </c>
      <c r="E105" s="1" t="d">
        <v>2019-01-20T13:06:19.99999998137354625</v>
      </c>
      <c r="F105" t="s">
        <v>334</v>
      </c>
      <c r="G105">
        <v>2</v>
      </c>
      <c r="H105">
        <v>1</v>
      </c>
      <c r="I105">
        <v>2</v>
      </c>
      <c r="J105">
        <v>5</v>
      </c>
      <c r="K105">
        <v>5</v>
      </c>
      <c r="L105">
        <v>5</v>
      </c>
      <c r="M105">
        <v>4</v>
      </c>
      <c r="N105">
        <v>3</v>
      </c>
      <c r="O105" s="2">
        <v>3</v>
      </c>
      <c r="P105" s="2">
        <v>3</v>
      </c>
      <c r="Q105" s="2">
        <v>2</v>
      </c>
      <c r="R105">
        <v>4</v>
      </c>
      <c r="S105">
        <v>3</v>
      </c>
      <c r="T105">
        <v>3</v>
      </c>
      <c r="U105" s="1" t="d">
        <v>2019-06-13T09:02:07.99999974668026275</v>
      </c>
      <c r="V105" s="1" t="d">
        <v>2019-06-13T09:27:51.00000022910535075</v>
      </c>
      <c r="W105" t="s">
        <v>335</v>
      </c>
      <c r="X105">
        <v>3</v>
      </c>
      <c r="Y105">
        <v>1</v>
      </c>
      <c r="Z105">
        <v>1</v>
      </c>
      <c r="AA105">
        <v>4</v>
      </c>
      <c r="AB105">
        <v>1</v>
      </c>
      <c r="AC105">
        <v>4</v>
      </c>
      <c r="AD105">
        <v>1</v>
      </c>
      <c r="AE105">
        <v>2</v>
      </c>
      <c r="AF105" s="2">
        <v>3</v>
      </c>
      <c r="AG105" s="2">
        <v>3</v>
      </c>
      <c r="AH105" s="2">
        <v>3</v>
      </c>
      <c r="AI105">
        <v>3</v>
      </c>
      <c r="AJ105">
        <v>3</v>
      </c>
      <c r="AK105">
        <v>2</v>
      </c>
      <c r="AY105">
        <v>35.864044083000003</v>
      </c>
      <c r="AZ105">
        <v>33.669301580000003</v>
      </c>
      <c r="BA105">
        <v>37.680543268000001</v>
      </c>
      <c r="BB105">
        <v>41.073033301000002</v>
      </c>
    </row>
    <row r="106" spans="1:54" x14ac:dyDescent="0.25">
      <c r="A106">
        <v>105</v>
      </c>
      <c r="B106" t="s">
        <v>336</v>
      </c>
      <c r="C106" t="s">
        <v>111</v>
      </c>
      <c r="D106" s="1" t="d">
        <v>2019-02-07T11:14:36.00000004749745200</v>
      </c>
      <c r="E106" s="1" t="d">
        <v>2019-02-07T12:09:20.9999997541308375</v>
      </c>
      <c r="F106" t="s">
        <v>337</v>
      </c>
      <c r="G106">
        <v>3</v>
      </c>
      <c r="H106">
        <v>2</v>
      </c>
      <c r="I106">
        <v>1</v>
      </c>
      <c r="J106">
        <v>2</v>
      </c>
      <c r="K106">
        <v>2</v>
      </c>
      <c r="L106">
        <v>3</v>
      </c>
      <c r="M106">
        <v>2</v>
      </c>
      <c r="N106">
        <v>2</v>
      </c>
      <c r="O106" s="2">
        <v>2</v>
      </c>
      <c r="P106" s="2">
        <v>2</v>
      </c>
      <c r="Q106" s="2">
        <v>5</v>
      </c>
      <c r="R106">
        <v>4</v>
      </c>
      <c r="S106">
        <v>3</v>
      </c>
      <c r="T106">
        <v>4</v>
      </c>
      <c r="U106" s="1" t="d">
        <v>2019-07-28T18:27:56.9999997457489350</v>
      </c>
      <c r="V106" s="1" t="d">
        <v>2019-07-28T18:46:43.99999979417770800</v>
      </c>
      <c r="W106" t="s">
        <v>338</v>
      </c>
      <c r="X106">
        <v>3</v>
      </c>
      <c r="Y106">
        <v>2</v>
      </c>
      <c r="Z106">
        <v>1</v>
      </c>
      <c r="AA106">
        <v>2</v>
      </c>
      <c r="AB106">
        <v>3</v>
      </c>
      <c r="AC106">
        <v>2</v>
      </c>
      <c r="AD106">
        <v>1</v>
      </c>
      <c r="AE106">
        <v>3</v>
      </c>
      <c r="AF106" s="2">
        <v>3</v>
      </c>
      <c r="AG106" s="2">
        <v>3</v>
      </c>
      <c r="AH106" s="2">
        <v>4</v>
      </c>
      <c r="AI106">
        <v>3</v>
      </c>
      <c r="AJ106">
        <v>2</v>
      </c>
      <c r="AK106">
        <v>1</v>
      </c>
      <c r="AY106">
        <v>39.763436912499998</v>
      </c>
      <c r="AZ106">
        <v>52.067279391</v>
      </c>
      <c r="BA106">
        <v>33.514394672999998</v>
      </c>
      <c r="BB106">
        <v>49.203204251999999</v>
      </c>
    </row>
    <row r="107" spans="1:54" x14ac:dyDescent="0.25">
      <c r="A107">
        <v>106</v>
      </c>
      <c r="B107" t="s">
        <v>339</v>
      </c>
      <c r="C107" t="s">
        <v>111</v>
      </c>
      <c r="D107" s="1" t="d">
        <v>2019-01-22T07:41:16.0000002337619662125</v>
      </c>
      <c r="E107" s="1" t="d">
        <v>2019-01-22T08:29:49.99999996740371100</v>
      </c>
      <c r="F107" t="s">
        <v>340</v>
      </c>
      <c r="G107">
        <v>4</v>
      </c>
      <c r="H107">
        <v>1</v>
      </c>
      <c r="I107">
        <v>1</v>
      </c>
      <c r="J107">
        <v>3</v>
      </c>
      <c r="K107">
        <v>1</v>
      </c>
      <c r="L107">
        <v>3</v>
      </c>
      <c r="M107">
        <v>2</v>
      </c>
      <c r="N107">
        <v>2</v>
      </c>
      <c r="O107" s="2">
        <v>3</v>
      </c>
      <c r="P107" s="2">
        <v>2</v>
      </c>
      <c r="Q107" s="2">
        <v>2</v>
      </c>
      <c r="R107">
        <v>2</v>
      </c>
      <c r="S107">
        <v>5</v>
      </c>
      <c r="T107">
        <v>4</v>
      </c>
      <c r="U107" s="1" t="d">
        <v>2019-06-25T10:23:47.99999979324638700</v>
      </c>
      <c r="V107" s="1" t="d">
        <v>2019-06-25T11:20:45.00000018160789875</v>
      </c>
      <c r="W107" t="s">
        <v>341</v>
      </c>
      <c r="X107">
        <v>4</v>
      </c>
      <c r="Y107">
        <v>2</v>
      </c>
      <c r="Z107">
        <v>1</v>
      </c>
      <c r="AA107">
        <v>1</v>
      </c>
      <c r="AB107">
        <v>1</v>
      </c>
      <c r="AC107">
        <v>3</v>
      </c>
      <c r="AD107">
        <v>3</v>
      </c>
      <c r="AE107">
        <v>2</v>
      </c>
      <c r="AF107" s="2">
        <v>2</v>
      </c>
      <c r="AG107" s="2">
        <v>2</v>
      </c>
      <c r="AH107" s="2">
        <v>2</v>
      </c>
      <c r="AI107">
        <v>3</v>
      </c>
      <c r="AJ107">
        <v>4</v>
      </c>
      <c r="AK107">
        <v>3</v>
      </c>
      <c r="AY107">
        <v>38.434831895000002</v>
      </c>
      <c r="AZ107">
        <v>37.298566227000002</v>
      </c>
      <c r="BA107">
        <v>45.3466522975</v>
      </c>
      <c r="BB107">
        <v>37.145655728000001</v>
      </c>
    </row>
    <row r="108" spans="1:54" x14ac:dyDescent="0.25">
      <c r="A108">
        <v>107</v>
      </c>
      <c r="B108" t="s">
        <v>342</v>
      </c>
      <c r="C108" t="s">
        <v>40</v>
      </c>
      <c r="D108" s="1" t="d">
        <v>2019-02-05T17:27:42.99999982584267600</v>
      </c>
      <c r="E108" s="1" t="d">
        <v>2019-02-05T18:30:19.00000025052577425</v>
      </c>
      <c r="F108" t="s">
        <v>343</v>
      </c>
      <c r="G108">
        <v>3</v>
      </c>
      <c r="H108">
        <v>1</v>
      </c>
      <c r="I108">
        <v>2</v>
      </c>
      <c r="J108">
        <v>4</v>
      </c>
      <c r="K108">
        <v>4</v>
      </c>
      <c r="L108">
        <v>4</v>
      </c>
      <c r="M108">
        <v>4</v>
      </c>
      <c r="N108">
        <v>4</v>
      </c>
      <c r="O108" s="2">
        <v>2</v>
      </c>
      <c r="P108" s="2">
        <v>2</v>
      </c>
      <c r="Q108" s="2">
        <v>3</v>
      </c>
      <c r="R108">
        <v>2</v>
      </c>
      <c r="S108">
        <v>4</v>
      </c>
      <c r="T108">
        <v>3</v>
      </c>
      <c r="U108" s="1" t="d">
        <v>2019-06-08T13:55:10.00000031199306150</v>
      </c>
      <c r="V108" s="1" t="d">
        <v>2019-06-08T14:43:18.99999985937029275</v>
      </c>
      <c r="W108" t="s">
        <v>344</v>
      </c>
      <c r="X108">
        <v>3</v>
      </c>
      <c r="Y108">
        <v>2</v>
      </c>
      <c r="Z108">
        <v>2</v>
      </c>
      <c r="AA108">
        <v>5</v>
      </c>
      <c r="AB108">
        <v>5</v>
      </c>
      <c r="AC108">
        <v>4</v>
      </c>
      <c r="AD108">
        <v>4</v>
      </c>
      <c r="AE108">
        <v>4</v>
      </c>
      <c r="AF108" s="2">
        <v>2</v>
      </c>
      <c r="AG108" s="2">
        <v>3</v>
      </c>
      <c r="AH108" s="2">
        <v>5</v>
      </c>
      <c r="AI108">
        <v>4</v>
      </c>
      <c r="AJ108">
        <v>3</v>
      </c>
      <c r="AK108">
        <v>2</v>
      </c>
      <c r="AY108">
        <v>31.218114717500001</v>
      </c>
      <c r="AZ108">
        <v>37.358611873999997</v>
      </c>
      <c r="BA108">
        <v>28.321624815500002</v>
      </c>
      <c r="BB108">
        <v>46.844607639000003</v>
      </c>
    </row>
    <row r="109" spans="1:54" x14ac:dyDescent="0.25">
      <c r="A109">
        <v>108</v>
      </c>
      <c r="B109" t="s">
        <v>345</v>
      </c>
      <c r="C109" t="s">
        <v>111</v>
      </c>
      <c r="D109" s="1" t="d">
        <v>2019-02-06T13:01:44.99999981839210125</v>
      </c>
      <c r="E109" s="1" t="d">
        <v>2019-02-06T14:06:16.00000009406358300</v>
      </c>
      <c r="F109" t="s">
        <v>346</v>
      </c>
      <c r="G109">
        <v>2</v>
      </c>
      <c r="H109">
        <v>2</v>
      </c>
      <c r="I109">
        <v>2</v>
      </c>
      <c r="J109">
        <v>2</v>
      </c>
      <c r="K109">
        <v>3</v>
      </c>
      <c r="L109">
        <v>2</v>
      </c>
      <c r="M109">
        <v>2</v>
      </c>
      <c r="N109">
        <v>4</v>
      </c>
      <c r="O109" s="2">
        <v>3</v>
      </c>
      <c r="P109" s="2">
        <v>5</v>
      </c>
      <c r="Q109" s="2">
        <v>3</v>
      </c>
      <c r="R109">
        <v>3</v>
      </c>
      <c r="S109">
        <v>3</v>
      </c>
      <c r="T109">
        <v>3</v>
      </c>
      <c r="U109" s="1" t="d">
        <v>2019-06-27T09:08:48.99999981746077350</v>
      </c>
      <c r="V109" s="1" t="d">
        <v>2019-06-27T09:39:38.99999977089464925</v>
      </c>
      <c r="W109" t="s">
        <v>347</v>
      </c>
      <c r="X109">
        <v>2</v>
      </c>
      <c r="Y109">
        <v>2</v>
      </c>
      <c r="Z109">
        <v>2</v>
      </c>
      <c r="AA109">
        <v>3</v>
      </c>
      <c r="AB109">
        <v>3</v>
      </c>
      <c r="AC109">
        <v>2</v>
      </c>
      <c r="AD109">
        <v>2</v>
      </c>
      <c r="AE109">
        <v>4</v>
      </c>
      <c r="AF109" s="2">
        <v>3</v>
      </c>
      <c r="AG109" s="2">
        <v>2</v>
      </c>
      <c r="AH109" s="2">
        <v>3</v>
      </c>
      <c r="AI109">
        <v>4</v>
      </c>
      <c r="AJ109">
        <v>3</v>
      </c>
      <c r="AK109">
        <v>3</v>
      </c>
      <c r="AY109">
        <v>36.538351071500003</v>
      </c>
      <c r="AZ109">
        <v>40.4242612595</v>
      </c>
      <c r="BA109">
        <v>36.659284964999998</v>
      </c>
      <c r="BB109">
        <v>47.933562633000001</v>
      </c>
    </row>
    <row r="110" spans="1:54" x14ac:dyDescent="0.25">
      <c r="A110">
        <v>109</v>
      </c>
      <c r="B110" t="s">
        <v>348</v>
      </c>
      <c r="C110" t="s">
        <v>111</v>
      </c>
      <c r="D110" s="1" t="d">
        <v>2019-03-13T18:40:29.99999974854290475</v>
      </c>
      <c r="E110" s="1" t="d">
        <v>2019-03-13T19:15:53.00000002607703525</v>
      </c>
      <c r="F110" t="s">
        <v>349</v>
      </c>
      <c r="G110">
        <v>2</v>
      </c>
      <c r="H110">
        <v>2</v>
      </c>
      <c r="I110">
        <v>3</v>
      </c>
      <c r="J110">
        <v>2</v>
      </c>
      <c r="K110">
        <v>5</v>
      </c>
      <c r="L110">
        <v>4</v>
      </c>
      <c r="M110">
        <v>3</v>
      </c>
      <c r="N110">
        <v>5</v>
      </c>
      <c r="O110" s="2">
        <v>2</v>
      </c>
      <c r="P110" s="2">
        <v>2</v>
      </c>
      <c r="Q110" s="2">
        <v>1</v>
      </c>
      <c r="R110">
        <v>5</v>
      </c>
      <c r="S110">
        <v>1</v>
      </c>
      <c r="T110">
        <v>2</v>
      </c>
      <c r="U110" s="1" t="d">
        <v>2019-07-28T11:25:14.00000019930303150</v>
      </c>
      <c r="V110" s="1" t="d">
        <v>2019-07-28T11:53:18.9999999292194825</v>
      </c>
      <c r="W110" t="s">
        <v>350</v>
      </c>
      <c r="X110">
        <v>2</v>
      </c>
      <c r="Y110">
        <v>3</v>
      </c>
      <c r="Z110">
        <v>3</v>
      </c>
      <c r="AA110">
        <v>3</v>
      </c>
      <c r="AB110">
        <v>4</v>
      </c>
      <c r="AC110">
        <v>4</v>
      </c>
      <c r="AD110">
        <v>4</v>
      </c>
      <c r="AE110">
        <v>5</v>
      </c>
      <c r="AF110" s="2">
        <v>3</v>
      </c>
      <c r="AG110" s="2">
        <v>2</v>
      </c>
      <c r="AH110" s="2">
        <v>3</v>
      </c>
      <c r="AI110">
        <v>5</v>
      </c>
      <c r="AJ110">
        <v>1</v>
      </c>
      <c r="AK110">
        <v>2</v>
      </c>
      <c r="AY110">
        <v>40.224595117500002</v>
      </c>
      <c r="AZ110">
        <v>38.138500117</v>
      </c>
      <c r="BA110">
        <v>43.059668297499996</v>
      </c>
      <c r="BB110">
        <v>38.141776420500001</v>
      </c>
    </row>
    <row r="111" spans="1:54" x14ac:dyDescent="0.25">
      <c r="A111">
        <v>110</v>
      </c>
      <c r="B111" t="s">
        <v>351</v>
      </c>
      <c r="C111" t="s">
        <v>111</v>
      </c>
      <c r="D111" s="1" t="d">
        <v>2019-03-18T13:01:33.99999976158141900</v>
      </c>
      <c r="E111" s="1" t="d">
        <v>2019-03-18T13:41:02.0000001043081275</v>
      </c>
      <c r="F111" t="s">
        <v>352</v>
      </c>
      <c r="G111">
        <v>2</v>
      </c>
      <c r="H111">
        <v>1</v>
      </c>
      <c r="I111">
        <v>1</v>
      </c>
      <c r="J111">
        <v>3</v>
      </c>
      <c r="K111">
        <v>3</v>
      </c>
      <c r="L111">
        <v>4</v>
      </c>
      <c r="M111">
        <v>3</v>
      </c>
      <c r="N111">
        <v>2</v>
      </c>
      <c r="O111" s="2">
        <v>4</v>
      </c>
      <c r="P111" s="2">
        <v>3</v>
      </c>
      <c r="Q111" s="2">
        <v>3</v>
      </c>
      <c r="R111">
        <v>4</v>
      </c>
      <c r="S111">
        <v>3</v>
      </c>
      <c r="T111">
        <v>3</v>
      </c>
      <c r="U111" s="1" t="d">
        <v>2019-07-23T11:19:51.00000013131648375</v>
      </c>
      <c r="V111" s="1" t="d">
        <v>2019-07-23T11:50:45.99999999627470925</v>
      </c>
      <c r="W111" t="s">
        <v>353</v>
      </c>
      <c r="X111">
        <v>3</v>
      </c>
      <c r="Y111">
        <v>2</v>
      </c>
      <c r="Z111">
        <v>2</v>
      </c>
      <c r="AA111">
        <v>2</v>
      </c>
      <c r="AB111">
        <v>3</v>
      </c>
      <c r="AC111">
        <v>2</v>
      </c>
      <c r="AD111">
        <v>3</v>
      </c>
      <c r="AE111">
        <v>3</v>
      </c>
      <c r="AF111" s="2">
        <v>4</v>
      </c>
      <c r="AG111" s="2">
        <v>3</v>
      </c>
      <c r="AH111" s="2">
        <v>2</v>
      </c>
      <c r="AI111">
        <v>3</v>
      </c>
      <c r="AJ111">
        <v>3</v>
      </c>
      <c r="AK111">
        <v>3</v>
      </c>
      <c r="AY111">
        <v>40.298517773</v>
      </c>
      <c r="AZ111">
        <v>38.135957192500001</v>
      </c>
      <c r="BA111">
        <v>41.852381708000003</v>
      </c>
      <c r="BB111">
        <v>35.417403618999998</v>
      </c>
    </row>
    <row r="112" spans="1:54" x14ac:dyDescent="0.25">
      <c r="A112">
        <v>111</v>
      </c>
      <c r="B112" t="s">
        <v>354</v>
      </c>
      <c r="C112" t="s">
        <v>111</v>
      </c>
      <c r="D112" s="1" t="d">
        <v>2019-03-20T11:08:33.00000005867332425</v>
      </c>
      <c r="E112" s="1" t="d">
        <v>2019-03-20T12:15:56.99999991338699850</v>
      </c>
      <c r="F112" t="s">
        <v>355</v>
      </c>
      <c r="G112">
        <v>2</v>
      </c>
      <c r="H112">
        <v>2</v>
      </c>
      <c r="I112">
        <v>3</v>
      </c>
      <c r="J112">
        <v>3</v>
      </c>
      <c r="K112">
        <v>3</v>
      </c>
      <c r="L112">
        <v>4</v>
      </c>
      <c r="M112">
        <v>4</v>
      </c>
      <c r="N112">
        <v>4</v>
      </c>
      <c r="O112" s="2">
        <v>3</v>
      </c>
      <c r="P112" s="2">
        <v>1</v>
      </c>
      <c r="Q112" s="2">
        <v>5</v>
      </c>
      <c r="R112">
        <v>3</v>
      </c>
      <c r="S112">
        <v>2</v>
      </c>
      <c r="T112">
        <v>2</v>
      </c>
      <c r="U112" s="1" t="d">
        <v>2019-08-19T18:23:35.999999712221324325</v>
      </c>
      <c r="V112" s="1" t="d">
        <v>2019-08-19T18:55:54.00000012014061150</v>
      </c>
      <c r="W112" t="s">
        <v>356</v>
      </c>
      <c r="X112">
        <v>1</v>
      </c>
      <c r="Y112">
        <v>2</v>
      </c>
      <c r="Z112">
        <v>2</v>
      </c>
      <c r="AA112">
        <v>3</v>
      </c>
      <c r="AB112">
        <v>3</v>
      </c>
      <c r="AC112">
        <v>3</v>
      </c>
      <c r="AD112">
        <v>3</v>
      </c>
      <c r="AE112">
        <v>4</v>
      </c>
      <c r="AF112" s="2">
        <v>4</v>
      </c>
      <c r="AG112" s="2">
        <v>1</v>
      </c>
      <c r="AH112" s="2">
        <v>2</v>
      </c>
      <c r="AI112">
        <v>4</v>
      </c>
      <c r="AJ112">
        <v>2</v>
      </c>
      <c r="AK112">
        <v>2</v>
      </c>
      <c r="AY112">
        <v>43.2440932445</v>
      </c>
      <c r="AZ112">
        <v>40.626145544499998</v>
      </c>
      <c r="BA112">
        <v>42.594615193499997</v>
      </c>
      <c r="BB112">
        <v>38.9436572105</v>
      </c>
    </row>
    <row r="113" spans="1:54" x14ac:dyDescent="0.25">
      <c r="A113">
        <v>112</v>
      </c>
      <c r="B113" t="s">
        <v>357</v>
      </c>
      <c r="C113" t="s">
        <v>111</v>
      </c>
      <c r="D113" s="1" t="d">
        <v>2019-04-23T09:39:03.99999976158141900</v>
      </c>
      <c r="E113" s="1" t="d">
        <v>2019-04-23T10:28:27.0000002626329675</v>
      </c>
      <c r="F113" t="s">
        <v>358</v>
      </c>
      <c r="G113">
        <v>1</v>
      </c>
      <c r="H113">
        <v>1</v>
      </c>
      <c r="I113">
        <v>2</v>
      </c>
      <c r="J113">
        <v>2</v>
      </c>
      <c r="K113">
        <v>2</v>
      </c>
      <c r="L113">
        <v>3</v>
      </c>
      <c r="M113">
        <v>3</v>
      </c>
      <c r="N113">
        <v>2</v>
      </c>
      <c r="O113" s="2">
        <v>2</v>
      </c>
      <c r="P113" s="2">
        <v>2</v>
      </c>
      <c r="Q113" s="2">
        <v>5</v>
      </c>
      <c r="R113">
        <v>4</v>
      </c>
      <c r="S113">
        <v>1</v>
      </c>
      <c r="T113">
        <v>1</v>
      </c>
      <c r="U113" s="1" t="d">
        <v>2019-08-30T12:27:29.00000011548399975</v>
      </c>
      <c r="V113" s="1" t="d">
        <v>2019-08-30T13:00:15.00000015366822150</v>
      </c>
      <c r="W113" t="s">
        <v>359</v>
      </c>
      <c r="X113">
        <v>3</v>
      </c>
      <c r="Y113">
        <v>1</v>
      </c>
      <c r="Z113">
        <v>2</v>
      </c>
      <c r="AA113">
        <v>3</v>
      </c>
      <c r="AB113">
        <v>3</v>
      </c>
      <c r="AC113">
        <v>4</v>
      </c>
      <c r="AD113">
        <v>3</v>
      </c>
      <c r="AE113">
        <v>3</v>
      </c>
      <c r="AF113" s="2">
        <v>2</v>
      </c>
      <c r="AG113" s="2">
        <v>4</v>
      </c>
      <c r="AH113" s="2">
        <v>3</v>
      </c>
      <c r="AI113">
        <v>4</v>
      </c>
      <c r="AJ113">
        <v>4</v>
      </c>
      <c r="AK113">
        <v>3</v>
      </c>
      <c r="AY113">
        <v>44.188861536499999</v>
      </c>
      <c r="AZ113">
        <v>50.204908918500003</v>
      </c>
      <c r="BA113">
        <v>36.4387885935</v>
      </c>
      <c r="BB113">
        <v>40.1770798525</v>
      </c>
    </row>
    <row r="114" spans="1:54" x14ac:dyDescent="0.25">
      <c r="A114">
        <v>113</v>
      </c>
      <c r="B114" t="s">
        <v>360</v>
      </c>
      <c r="C114" t="s">
        <v>111</v>
      </c>
      <c r="D114" s="1" t="d">
        <v>2019-04-24T11:11:45.9999999124556775</v>
      </c>
      <c r="E114" s="1" t="d">
        <v>2019-04-24T11:43:23.99999977089464925</v>
      </c>
      <c r="F114" t="s">
        <v>361</v>
      </c>
      <c r="G114">
        <v>3</v>
      </c>
      <c r="H114">
        <v>1</v>
      </c>
      <c r="I114">
        <v>1</v>
      </c>
      <c r="J114">
        <v>3</v>
      </c>
      <c r="K114">
        <v>2</v>
      </c>
      <c r="L114">
        <v>3</v>
      </c>
      <c r="M114">
        <v>3</v>
      </c>
      <c r="N114">
        <v>2</v>
      </c>
      <c r="O114" s="2">
        <v>3</v>
      </c>
      <c r="P114" s="2">
        <v>4</v>
      </c>
      <c r="Q114" s="2">
        <v>2</v>
      </c>
      <c r="R114">
        <v>2</v>
      </c>
      <c r="S114">
        <v>5</v>
      </c>
      <c r="T114">
        <v>4</v>
      </c>
      <c r="AY114">
        <v>38.1452528485</v>
      </c>
      <c r="AZ114">
        <v>33.093079575499999</v>
      </c>
    </row>
    <row r="115" spans="1:54" x14ac:dyDescent="0.25">
      <c r="A115">
        <v>114</v>
      </c>
      <c r="B115" t="s">
        <v>362</v>
      </c>
      <c r="C115" t="s">
        <v>111</v>
      </c>
      <c r="D115" s="1" t="d">
        <v>2019-04-23T12:22:50.999999879859387825</v>
      </c>
      <c r="E115" s="1" t="d">
        <v>2019-04-23T12:57:20.999999712221324325</v>
      </c>
      <c r="F115" t="s">
        <v>363</v>
      </c>
      <c r="G115">
        <v>2</v>
      </c>
      <c r="H115">
        <v>2</v>
      </c>
      <c r="I115">
        <v>2</v>
      </c>
      <c r="J115">
        <v>4</v>
      </c>
      <c r="K115">
        <v>4</v>
      </c>
      <c r="L115">
        <v>4</v>
      </c>
      <c r="M115">
        <v>4</v>
      </c>
      <c r="N115">
        <v>3</v>
      </c>
      <c r="O115" s="2">
        <v>2</v>
      </c>
      <c r="P115" s="2">
        <v>3</v>
      </c>
      <c r="Q115" s="2">
        <v>4</v>
      </c>
      <c r="R115">
        <v>4</v>
      </c>
      <c r="S115">
        <v>2</v>
      </c>
      <c r="T115">
        <v>2</v>
      </c>
      <c r="AY115">
        <v>38.340854163000003</v>
      </c>
      <c r="AZ115">
        <v>41.979204123000002</v>
      </c>
    </row>
    <row r="116" spans="1:54" x14ac:dyDescent="0.25">
      <c r="A116">
        <v>115</v>
      </c>
      <c r="B116" t="s">
        <v>364</v>
      </c>
      <c r="C116" t="s">
        <v>111</v>
      </c>
      <c r="D116" s="1" t="d">
        <v>2019-05-03T12:57:18.999999873340130025</v>
      </c>
      <c r="E116" s="1" t="d">
        <v>2019-05-05T15:54:07.99999985843897175</v>
      </c>
      <c r="F116" t="s">
        <v>365</v>
      </c>
      <c r="G116">
        <v>1</v>
      </c>
      <c r="H116">
        <v>2</v>
      </c>
      <c r="I116">
        <v>3</v>
      </c>
      <c r="J116">
        <v>4</v>
      </c>
      <c r="K116">
        <v>4</v>
      </c>
      <c r="L116">
        <v>4</v>
      </c>
      <c r="M116">
        <v>3</v>
      </c>
      <c r="N116">
        <v>5</v>
      </c>
      <c r="O116" s="2">
        <v>2</v>
      </c>
      <c r="P116" s="2">
        <v>1</v>
      </c>
      <c r="Q116" s="2">
        <v>2</v>
      </c>
      <c r="R116">
        <v>5</v>
      </c>
      <c r="S116">
        <v>5</v>
      </c>
      <c r="T116">
        <v>5</v>
      </c>
      <c r="U116" s="1" t="d">
        <v>2019-08-31T07:40:04.99999998137354625</v>
      </c>
      <c r="V116" s="1" t="d">
        <v>2019-09-12T20:37:57.000000025145709525</v>
      </c>
      <c r="W116" t="s">
        <v>366</v>
      </c>
      <c r="X116">
        <v>2</v>
      </c>
      <c r="Y116">
        <v>3</v>
      </c>
      <c r="Z116">
        <v>3</v>
      </c>
      <c r="AA116">
        <v>1</v>
      </c>
      <c r="AB116">
        <v>4</v>
      </c>
      <c r="AC116">
        <v>4</v>
      </c>
      <c r="AD116">
        <v>4</v>
      </c>
      <c r="AE116">
        <v>5</v>
      </c>
      <c r="AF116" s="2">
        <v>1</v>
      </c>
      <c r="AG116" s="2">
        <v>2</v>
      </c>
      <c r="AH116" s="2">
        <v>5</v>
      </c>
      <c r="AI116">
        <v>4</v>
      </c>
      <c r="AJ116">
        <v>4</v>
      </c>
      <c r="AK116">
        <v>4</v>
      </c>
      <c r="AY116">
        <v>39.199473910999998</v>
      </c>
      <c r="AZ116">
        <v>43.143251110000001</v>
      </c>
      <c r="BA116">
        <v>42.698347390000002</v>
      </c>
      <c r="BB116">
        <v>44.520261247000001</v>
      </c>
    </row>
    <row r="117" spans="1:54" x14ac:dyDescent="0.25">
      <c r="A117">
        <v>116</v>
      </c>
      <c r="B117" t="s">
        <v>367</v>
      </c>
      <c r="C117" t="s">
        <v>111</v>
      </c>
      <c r="D117" s="1" t="d">
        <v>2019-04-26T19:20:12.00000022072344825</v>
      </c>
      <c r="E117" s="1" t="d">
        <v>2019-04-26T20:00:21.00000008940696450</v>
      </c>
      <c r="F117" t="s">
        <v>368</v>
      </c>
      <c r="G117">
        <v>2</v>
      </c>
      <c r="H117">
        <v>2</v>
      </c>
      <c r="I117">
        <v>3</v>
      </c>
      <c r="J117">
        <v>4</v>
      </c>
      <c r="K117">
        <v>4</v>
      </c>
      <c r="L117">
        <v>5</v>
      </c>
      <c r="M117">
        <v>3</v>
      </c>
      <c r="N117">
        <v>5</v>
      </c>
      <c r="O117" s="2">
        <v>1</v>
      </c>
      <c r="P117" s="2">
        <v>1</v>
      </c>
      <c r="Q117" s="2">
        <v>6</v>
      </c>
      <c r="R117">
        <v>5</v>
      </c>
      <c r="S117">
        <v>2</v>
      </c>
      <c r="T117">
        <v>3</v>
      </c>
      <c r="U117" s="1" t="d">
        <v>2019-09-17T13:49:20.99999982398003400</v>
      </c>
      <c r="V117" s="1" t="d">
        <v>2019-09-17T14:13:27.99999986775219525</v>
      </c>
      <c r="W117" t="s">
        <v>369</v>
      </c>
      <c r="X117">
        <v>2</v>
      </c>
      <c r="Y117">
        <v>2</v>
      </c>
      <c r="Z117">
        <v>2</v>
      </c>
      <c r="AA117">
        <v>4</v>
      </c>
      <c r="AB117">
        <v>3</v>
      </c>
      <c r="AC117">
        <v>4</v>
      </c>
      <c r="AD117">
        <v>1</v>
      </c>
      <c r="AE117">
        <v>4</v>
      </c>
      <c r="AF117" s="2">
        <v>1</v>
      </c>
      <c r="AG117" s="2">
        <v>1</v>
      </c>
      <c r="AH117" s="2">
        <v>6</v>
      </c>
      <c r="AI117">
        <v>5</v>
      </c>
      <c r="AJ117">
        <v>2</v>
      </c>
      <c r="AK117">
        <v>2</v>
      </c>
      <c r="AY117">
        <v>34.348415659499999</v>
      </c>
      <c r="AZ117">
        <v>54.1283192</v>
      </c>
      <c r="BA117">
        <v>32.756431499500003</v>
      </c>
      <c r="BB117">
        <v>61.692356474999997</v>
      </c>
    </row>
    <row r="118" spans="1:54" x14ac:dyDescent="0.25">
      <c r="A118">
        <v>117</v>
      </c>
      <c r="B118" t="s">
        <v>370</v>
      </c>
      <c r="C118" t="s">
        <v>111</v>
      </c>
      <c r="D118" s="1" t="d">
        <v>2019-05-14T03:59:18.00000003073364700</v>
      </c>
      <c r="E118" s="1" t="d">
        <v>2019-05-14T04:35:34.00000012479722325</v>
      </c>
      <c r="F118" t="s">
        <v>371</v>
      </c>
      <c r="G118">
        <v>2</v>
      </c>
      <c r="H118">
        <v>3</v>
      </c>
      <c r="I118">
        <v>3</v>
      </c>
      <c r="J118">
        <v>4</v>
      </c>
      <c r="K118">
        <v>5</v>
      </c>
      <c r="L118">
        <v>2</v>
      </c>
      <c r="M118">
        <v>2</v>
      </c>
      <c r="N118">
        <v>5</v>
      </c>
      <c r="O118" s="2">
        <v>2</v>
      </c>
      <c r="P118" s="2">
        <v>2</v>
      </c>
      <c r="Q118" s="2">
        <v>2</v>
      </c>
      <c r="R118">
        <v>4</v>
      </c>
      <c r="S118">
        <v>1</v>
      </c>
      <c r="T118">
        <v>2</v>
      </c>
      <c r="U118" s="1" t="d">
        <v>2019-09-13T12:10:49.0000002086162550</v>
      </c>
      <c r="V118" s="1" t="d">
        <v>2019-09-13T14:06:14.00000025518238600</v>
      </c>
      <c r="W118" t="s">
        <v>372</v>
      </c>
      <c r="X118">
        <v>2</v>
      </c>
      <c r="Y118">
        <v>3</v>
      </c>
      <c r="Z118">
        <v>3</v>
      </c>
      <c r="AA118">
        <v>4</v>
      </c>
      <c r="AB118">
        <v>4</v>
      </c>
      <c r="AC118">
        <v>4</v>
      </c>
      <c r="AD118">
        <v>4</v>
      </c>
      <c r="AE118">
        <v>4</v>
      </c>
      <c r="AF118" s="2">
        <v>3</v>
      </c>
      <c r="AG118" s="2">
        <v>3</v>
      </c>
      <c r="AH118" s="2">
        <v>2</v>
      </c>
      <c r="AI118">
        <v>4</v>
      </c>
      <c r="AJ118">
        <v>4</v>
      </c>
      <c r="AK118">
        <v>3</v>
      </c>
      <c r="AY118">
        <v>35.023777604999999</v>
      </c>
      <c r="AZ118">
        <v>46.251598397999999</v>
      </c>
      <c r="BA118">
        <v>44.969222053000003</v>
      </c>
      <c r="BB118">
        <v>31.07137316</v>
      </c>
    </row>
    <row r="119" spans="1:54" x14ac:dyDescent="0.25">
      <c r="A119">
        <v>118</v>
      </c>
      <c r="B119" t="s">
        <v>373</v>
      </c>
      <c r="C119" t="s">
        <v>111</v>
      </c>
      <c r="D119" s="1" t="d">
        <v>2019-05-13T09:34:10.000000186264515225</v>
      </c>
      <c r="E119" s="1" t="d">
        <v>2019-05-13T10:20:45.99999999627470925</v>
      </c>
      <c r="F119" t="s">
        <v>374</v>
      </c>
      <c r="G119">
        <v>2</v>
      </c>
      <c r="H119">
        <v>3</v>
      </c>
      <c r="I119">
        <v>2</v>
      </c>
      <c r="J119">
        <v>4</v>
      </c>
      <c r="K119">
        <v>4</v>
      </c>
      <c r="L119">
        <v>5</v>
      </c>
      <c r="M119">
        <v>4</v>
      </c>
      <c r="N119">
        <v>5</v>
      </c>
      <c r="O119" s="2">
        <v>2</v>
      </c>
      <c r="P119" s="2">
        <v>2</v>
      </c>
      <c r="Q119" s="2">
        <v>5</v>
      </c>
      <c r="R119">
        <v>5</v>
      </c>
      <c r="S119">
        <v>1</v>
      </c>
      <c r="T119">
        <v>1</v>
      </c>
      <c r="U119" s="1" t="d">
        <v>2019-09-11T09:15:39.00000010617077625</v>
      </c>
      <c r="V119" s="1" t="d">
        <v>2019-09-11T09:51:15.99999988451600025</v>
      </c>
      <c r="W119" t="s">
        <v>375</v>
      </c>
      <c r="X119">
        <v>3</v>
      </c>
      <c r="Y119">
        <v>2</v>
      </c>
      <c r="Z119">
        <v>2</v>
      </c>
      <c r="AA119">
        <v>3</v>
      </c>
      <c r="AB119">
        <v>3</v>
      </c>
      <c r="AC119">
        <v>4</v>
      </c>
      <c r="AD119">
        <v>4</v>
      </c>
      <c r="AE119">
        <v>4</v>
      </c>
      <c r="AF119" s="2">
        <v>1</v>
      </c>
      <c r="AG119" s="2">
        <v>2</v>
      </c>
      <c r="AH119" s="2">
        <v>3</v>
      </c>
      <c r="AI119">
        <v>5</v>
      </c>
      <c r="AJ119">
        <v>2</v>
      </c>
      <c r="AK119">
        <v>1</v>
      </c>
      <c r="AY119">
        <v>35.982639107499999</v>
      </c>
      <c r="AZ119">
        <v>45.346144303499997</v>
      </c>
      <c r="BA119">
        <v>37.615103175000002</v>
      </c>
      <c r="BB119">
        <v>44.6692139325</v>
      </c>
    </row>
    <row r="120" spans="1:54" x14ac:dyDescent="0.25">
      <c r="A120">
        <v>119</v>
      </c>
      <c r="B120" t="s">
        <v>376</v>
      </c>
      <c r="C120" t="s">
        <v>111</v>
      </c>
      <c r="D120" s="1" t="d">
        <v>2019-05-28T15:34:04.000000040978193525</v>
      </c>
      <c r="E120" s="1" t="d">
        <v>2019-05-28T16:04:14.00000007357448050</v>
      </c>
      <c r="F120" t="s">
        <v>377</v>
      </c>
      <c r="G120">
        <v>2</v>
      </c>
      <c r="H120">
        <v>3</v>
      </c>
      <c r="I120">
        <v>2</v>
      </c>
      <c r="J120">
        <v>4</v>
      </c>
      <c r="K120">
        <v>5</v>
      </c>
      <c r="L120">
        <v>5</v>
      </c>
      <c r="M120">
        <v>5</v>
      </c>
      <c r="N120">
        <v>4</v>
      </c>
      <c r="O120" s="2">
        <v>2</v>
      </c>
      <c r="P120" s="2">
        <v>1</v>
      </c>
      <c r="Q120" s="2">
        <v>5</v>
      </c>
      <c r="R120">
        <v>4</v>
      </c>
      <c r="S120">
        <v>3</v>
      </c>
      <c r="T120">
        <v>2</v>
      </c>
      <c r="U120" s="1" t="d">
        <v>2019-10-02T10:38:40.9999998332932575</v>
      </c>
      <c r="V120" s="1" t="d">
        <v>2019-10-02T11:37:01.99999974109232325</v>
      </c>
      <c r="W120" t="s">
        <v>378</v>
      </c>
      <c r="X120">
        <v>2</v>
      </c>
      <c r="Y120">
        <v>2</v>
      </c>
      <c r="Z120">
        <v>2</v>
      </c>
      <c r="AA120">
        <v>3</v>
      </c>
      <c r="AB120">
        <v>4</v>
      </c>
      <c r="AC120">
        <v>4</v>
      </c>
      <c r="AD120">
        <v>5</v>
      </c>
      <c r="AE120">
        <v>4</v>
      </c>
      <c r="AF120" s="2">
        <v>2</v>
      </c>
      <c r="AG120" s="2">
        <v>1</v>
      </c>
      <c r="AH120" s="2">
        <v>6</v>
      </c>
      <c r="AI120">
        <v>4</v>
      </c>
      <c r="AJ120">
        <v>2</v>
      </c>
      <c r="AK120">
        <v>1</v>
      </c>
      <c r="AY120">
        <v>38.769019206999999</v>
      </c>
      <c r="AZ120">
        <v>42.005563540499999</v>
      </c>
      <c r="BA120">
        <v>36.654913247000003</v>
      </c>
      <c r="BB120">
        <v>48.689583111499999</v>
      </c>
    </row>
    <row r="121" spans="1:54" x14ac:dyDescent="0.25">
      <c r="A121">
        <v>120</v>
      </c>
      <c r="B121" t="s">
        <v>379</v>
      </c>
      <c r="C121" t="s">
        <v>111</v>
      </c>
      <c r="D121" s="1" t="d">
        <v>2019-05-16T14:37:15.00000026542693050</v>
      </c>
      <c r="E121" s="1" t="d">
        <v>2019-05-16T15:30:16.00000017788261475</v>
      </c>
      <c r="F121" t="s">
        <v>380</v>
      </c>
      <c r="G121">
        <v>2</v>
      </c>
      <c r="H121">
        <v>2</v>
      </c>
      <c r="I121">
        <v>3</v>
      </c>
      <c r="J121">
        <v>3</v>
      </c>
      <c r="K121">
        <v>3</v>
      </c>
      <c r="L121">
        <v>3</v>
      </c>
      <c r="M121">
        <v>3</v>
      </c>
      <c r="N121">
        <v>3</v>
      </c>
      <c r="O121" s="2">
        <v>3</v>
      </c>
      <c r="P121" s="2">
        <v>2</v>
      </c>
      <c r="Q121" s="2">
        <v>4</v>
      </c>
      <c r="R121">
        <v>4</v>
      </c>
      <c r="S121">
        <v>3</v>
      </c>
      <c r="T121">
        <v>2</v>
      </c>
      <c r="U121" s="1" t="d">
        <v>2019-10-01T14:49:42.999999728053808325</v>
      </c>
      <c r="V121" s="1" t="d">
        <v>2019-10-04T13:08:08.000000081956386375</v>
      </c>
      <c r="W121" t="s">
        <v>381</v>
      </c>
      <c r="X121">
        <v>2</v>
      </c>
      <c r="Y121">
        <v>2</v>
      </c>
      <c r="Z121">
        <v>3</v>
      </c>
      <c r="AA121">
        <v>4</v>
      </c>
      <c r="AB121">
        <v>4</v>
      </c>
      <c r="AC121">
        <v>4</v>
      </c>
      <c r="AD121">
        <v>1</v>
      </c>
      <c r="AE121">
        <v>5</v>
      </c>
      <c r="AF121" s="2">
        <v>4</v>
      </c>
      <c r="AG121" s="2">
        <v>2</v>
      </c>
      <c r="AH121" s="2">
        <v>3</v>
      </c>
      <c r="AI121">
        <v>2</v>
      </c>
      <c r="AJ121">
        <v>3</v>
      </c>
      <c r="AK121">
        <v>4</v>
      </c>
      <c r="AY121">
        <v>44.929896575000001</v>
      </c>
      <c r="AZ121">
        <v>43.544037946499998</v>
      </c>
      <c r="BA121">
        <v>36.096362730000003</v>
      </c>
      <c r="BB121">
        <v>36.280295429500001</v>
      </c>
    </row>
    <row r="122" spans="1:54" x14ac:dyDescent="0.25">
      <c r="A122">
        <v>121</v>
      </c>
      <c r="B122" t="s">
        <v>382</v>
      </c>
      <c r="C122" t="s">
        <v>111</v>
      </c>
      <c r="D122" s="1" t="d">
        <v>2019-05-24T14:33:45.99999981466681050</v>
      </c>
      <c r="E122" s="1" t="d">
        <v>2019-05-24T15:39:22.99999980255961725</v>
      </c>
      <c r="F122" t="s">
        <v>383</v>
      </c>
      <c r="G122">
        <v>2</v>
      </c>
      <c r="H122">
        <v>3</v>
      </c>
      <c r="I122">
        <v>3</v>
      </c>
      <c r="J122">
        <v>5</v>
      </c>
      <c r="K122">
        <v>5</v>
      </c>
      <c r="L122">
        <v>5</v>
      </c>
      <c r="M122">
        <v>5</v>
      </c>
      <c r="N122">
        <v>5</v>
      </c>
      <c r="O122" s="2">
        <v>2</v>
      </c>
      <c r="P122" s="2">
        <v>1</v>
      </c>
      <c r="Q122" s="2">
        <v>2</v>
      </c>
      <c r="R122">
        <v>5</v>
      </c>
      <c r="S122">
        <v>3</v>
      </c>
      <c r="T122">
        <v>2</v>
      </c>
      <c r="U122" s="1" t="d">
        <v>2019-10-15T20:59:55.00000008847564350</v>
      </c>
      <c r="V122" s="1" t="d">
        <v>2019-10-15T21:20:32.00000007636845025</v>
      </c>
      <c r="W122" t="s">
        <v>384</v>
      </c>
      <c r="X122">
        <v>1</v>
      </c>
      <c r="Y122">
        <v>3</v>
      </c>
      <c r="Z122">
        <v>3</v>
      </c>
      <c r="AA122">
        <v>3</v>
      </c>
      <c r="AB122">
        <v>4</v>
      </c>
      <c r="AC122">
        <v>4</v>
      </c>
      <c r="AD122">
        <v>4</v>
      </c>
      <c r="AE122">
        <v>5</v>
      </c>
      <c r="AF122" s="2">
        <v>2</v>
      </c>
      <c r="AG122" s="2">
        <v>1</v>
      </c>
      <c r="AH122" s="2">
        <v>5</v>
      </c>
      <c r="AI122">
        <v>4</v>
      </c>
      <c r="AJ122">
        <v>2</v>
      </c>
      <c r="AK122">
        <v>1</v>
      </c>
      <c r="AY122">
        <v>40.685993314500003</v>
      </c>
      <c r="AZ122">
        <v>35.416930485000002</v>
      </c>
      <c r="BA122">
        <v>41.734857978500003</v>
      </c>
      <c r="BB122">
        <v>44.965570067999998</v>
      </c>
    </row>
    <row r="123" spans="1:54" x14ac:dyDescent="0.25">
      <c r="A123">
        <v>122</v>
      </c>
      <c r="B123" t="s">
        <v>385</v>
      </c>
      <c r="C123" t="s">
        <v>111</v>
      </c>
      <c r="D123" s="1" t="d">
        <v>2019-05-16T06:24:51.0000002710148700</v>
      </c>
      <c r="E123" s="1" t="d">
        <v>2019-05-16T06:57:45.99999989848584225</v>
      </c>
      <c r="F123" t="s">
        <v>386</v>
      </c>
      <c r="G123">
        <v>2</v>
      </c>
      <c r="H123">
        <v>1</v>
      </c>
      <c r="I123">
        <v>2</v>
      </c>
      <c r="J123">
        <v>2</v>
      </c>
      <c r="K123">
        <v>2</v>
      </c>
      <c r="L123">
        <v>1</v>
      </c>
      <c r="M123">
        <v>1</v>
      </c>
      <c r="N123">
        <v>4</v>
      </c>
      <c r="O123" s="2">
        <v>4</v>
      </c>
      <c r="P123" s="2">
        <v>3</v>
      </c>
      <c r="Q123" s="2">
        <v>2</v>
      </c>
      <c r="R123">
        <v>3</v>
      </c>
      <c r="S123">
        <v>3</v>
      </c>
      <c r="T123">
        <v>3</v>
      </c>
      <c r="U123" s="1" t="d">
        <v>2019-09-13T09:15:23.00000013783574425</v>
      </c>
      <c r="V123" s="1" t="d">
        <v>2019-09-13T09:39:20.99999996367842025</v>
      </c>
      <c r="W123" t="s">
        <v>387</v>
      </c>
      <c r="X123">
        <v>2</v>
      </c>
      <c r="Y123">
        <v>2</v>
      </c>
      <c r="Z123">
        <v>2</v>
      </c>
      <c r="AA123">
        <v>3</v>
      </c>
      <c r="AB123">
        <v>3</v>
      </c>
      <c r="AC123">
        <v>1</v>
      </c>
      <c r="AD123">
        <v>1</v>
      </c>
      <c r="AE123">
        <v>4</v>
      </c>
      <c r="AF123" s="2">
        <v>5</v>
      </c>
      <c r="AG123" s="2">
        <v>2</v>
      </c>
      <c r="AH123" s="2">
        <v>3</v>
      </c>
      <c r="AI123">
        <v>3</v>
      </c>
      <c r="AJ123">
        <v>2</v>
      </c>
      <c r="AK123">
        <v>3</v>
      </c>
      <c r="AY123">
        <v>36.0065675305</v>
      </c>
      <c r="AZ123">
        <v>44.373186769</v>
      </c>
      <c r="BA123">
        <v>35.993837477500001</v>
      </c>
      <c r="BB123">
        <v>46.031848130999997</v>
      </c>
    </row>
    <row r="124" spans="1:54" x14ac:dyDescent="0.25">
      <c r="A124">
        <v>123</v>
      </c>
      <c r="B124" t="s">
        <v>388</v>
      </c>
      <c r="C124" t="s">
        <v>111</v>
      </c>
      <c r="D124" s="1" t="d">
        <v>2019-05-19T10:55:39.99999978113919375</v>
      </c>
      <c r="E124" s="1" t="d">
        <v>2019-05-19T12:14:18.00000003073364700</v>
      </c>
      <c r="F124" t="s">
        <v>389</v>
      </c>
      <c r="G124">
        <v>2</v>
      </c>
      <c r="H124">
        <v>2</v>
      </c>
      <c r="I124">
        <v>3</v>
      </c>
      <c r="J124">
        <v>4</v>
      </c>
      <c r="K124">
        <v>3</v>
      </c>
      <c r="L124">
        <v>2</v>
      </c>
      <c r="M124">
        <v>2</v>
      </c>
      <c r="N124">
        <v>5</v>
      </c>
      <c r="O124" s="2">
        <v>3</v>
      </c>
      <c r="P124" s="2">
        <v>1</v>
      </c>
      <c r="Q124" s="2">
        <v>3</v>
      </c>
      <c r="R124">
        <v>4</v>
      </c>
      <c r="S124">
        <v>1</v>
      </c>
      <c r="T124">
        <v>4</v>
      </c>
      <c r="U124" s="1" t="d">
        <v>2019-09-12T06:40:46.99999995063990600</v>
      </c>
      <c r="V124" s="1" t="d">
        <v>2019-09-12T07:14:07.99999999813735800</v>
      </c>
      <c r="W124" t="s">
        <v>390</v>
      </c>
      <c r="X124">
        <v>1</v>
      </c>
      <c r="Y124">
        <v>2</v>
      </c>
      <c r="Z124">
        <v>3</v>
      </c>
      <c r="AA124">
        <v>4</v>
      </c>
      <c r="AB124">
        <v>3</v>
      </c>
      <c r="AC124">
        <v>1</v>
      </c>
      <c r="AD124">
        <v>3</v>
      </c>
      <c r="AE124">
        <v>4</v>
      </c>
      <c r="AF124" s="2">
        <v>3</v>
      </c>
      <c r="AG124" s="2">
        <v>2</v>
      </c>
      <c r="AH124" s="2">
        <v>2</v>
      </c>
      <c r="AI124">
        <v>4</v>
      </c>
      <c r="AJ124">
        <v>1</v>
      </c>
      <c r="AK124">
        <v>4</v>
      </c>
      <c r="AY124">
        <v>35.858652427000003</v>
      </c>
      <c r="AZ124">
        <v>48.981870059999999</v>
      </c>
      <c r="BA124">
        <v>40.216446486499997</v>
      </c>
      <c r="BB124">
        <v>45.128069824500002</v>
      </c>
    </row>
    <row r="125" spans="1:54" x14ac:dyDescent="0.25">
      <c r="A125">
        <v>124</v>
      </c>
      <c r="B125" t="s">
        <v>391</v>
      </c>
      <c r="C125" t="s">
        <v>111</v>
      </c>
      <c r="D125" s="1" t="d">
        <v>2019-06-22T18:57:10.999999889172613350</v>
      </c>
      <c r="E125" s="1" t="d">
        <v>2019-06-22T19:50:41.99999989941716325</v>
      </c>
      <c r="F125" t="s">
        <v>392</v>
      </c>
      <c r="G125">
        <v>2</v>
      </c>
      <c r="H125">
        <v>2</v>
      </c>
      <c r="I125">
        <v>2</v>
      </c>
      <c r="J125">
        <v>4</v>
      </c>
      <c r="K125">
        <v>4</v>
      </c>
      <c r="L125">
        <v>4</v>
      </c>
      <c r="M125">
        <v>4</v>
      </c>
      <c r="N125">
        <v>4</v>
      </c>
      <c r="O125" s="2">
        <v>2</v>
      </c>
      <c r="P125" s="2">
        <v>2</v>
      </c>
      <c r="Q125" s="2">
        <v>4</v>
      </c>
      <c r="R125">
        <v>5</v>
      </c>
      <c r="S125">
        <v>3</v>
      </c>
      <c r="T125">
        <v>1</v>
      </c>
      <c r="U125" s="1" t="d">
        <v>2019-10-19T15:06:52.99999973271042075</v>
      </c>
      <c r="V125" s="1" t="d">
        <v>2019-10-19T15:34:45.00000019557774075</v>
      </c>
      <c r="W125" t="s">
        <v>393</v>
      </c>
      <c r="X125">
        <v>1</v>
      </c>
      <c r="Y125">
        <v>2</v>
      </c>
      <c r="Z125">
        <v>2</v>
      </c>
      <c r="AA125">
        <v>3</v>
      </c>
      <c r="AB125">
        <v>4</v>
      </c>
      <c r="AC125">
        <v>4</v>
      </c>
      <c r="AD125">
        <v>4</v>
      </c>
      <c r="AE125">
        <v>4</v>
      </c>
      <c r="AF125" s="2">
        <v>1</v>
      </c>
      <c r="AG125" s="2">
        <v>1</v>
      </c>
      <c r="AH125" s="2">
        <v>5</v>
      </c>
      <c r="AI125">
        <v>5</v>
      </c>
      <c r="AJ125">
        <v>2</v>
      </c>
      <c r="AK125">
        <v>1</v>
      </c>
      <c r="AY125">
        <v>35.7061026075</v>
      </c>
      <c r="AZ125">
        <v>46.691366967500002</v>
      </c>
      <c r="BA125">
        <v>37.356227996000001</v>
      </c>
      <c r="BB125">
        <v>52.612581116500003</v>
      </c>
    </row>
    <row r="126" spans="1:54" x14ac:dyDescent="0.25">
      <c r="A126">
        <v>125</v>
      </c>
      <c r="B126" t="s">
        <v>394</v>
      </c>
      <c r="C126" t="s">
        <v>111</v>
      </c>
      <c r="D126" s="1" t="d">
        <v>2019-06-19T17:11:15.99999981466681050</v>
      </c>
      <c r="E126" s="1" t="d">
        <v>2019-06-19T17:48:33.99999994318932450</v>
      </c>
      <c r="F126" t="s">
        <v>395</v>
      </c>
      <c r="G126">
        <v>2</v>
      </c>
      <c r="H126">
        <v>1</v>
      </c>
      <c r="I126">
        <v>1</v>
      </c>
      <c r="J126">
        <v>3</v>
      </c>
      <c r="K126">
        <v>3</v>
      </c>
      <c r="L126">
        <v>3</v>
      </c>
      <c r="M126">
        <v>2</v>
      </c>
      <c r="N126">
        <v>5</v>
      </c>
      <c r="O126" s="2">
        <v>3</v>
      </c>
      <c r="P126" s="2">
        <v>5</v>
      </c>
      <c r="Q126" s="2">
        <v>3</v>
      </c>
      <c r="R126">
        <v>3</v>
      </c>
      <c r="S126">
        <v>4</v>
      </c>
      <c r="T126">
        <v>5</v>
      </c>
      <c r="U126" s="1" t="d">
        <v>2019-10-27T08:16:27.99999982584267600</v>
      </c>
      <c r="V126" s="1" t="d">
        <v>2019-10-27T09:10:09.000000287778675</v>
      </c>
      <c r="W126" t="s">
        <v>396</v>
      </c>
      <c r="X126">
        <v>3</v>
      </c>
      <c r="Y126">
        <v>1</v>
      </c>
      <c r="Z126">
        <v>1</v>
      </c>
      <c r="AA126">
        <v>5</v>
      </c>
      <c r="AB126">
        <v>3</v>
      </c>
      <c r="AC126">
        <v>3</v>
      </c>
      <c r="AD126">
        <v>3</v>
      </c>
      <c r="AE126">
        <v>3</v>
      </c>
      <c r="AF126" s="2">
        <v>2</v>
      </c>
      <c r="AG126" s="2">
        <v>3</v>
      </c>
      <c r="AH126" s="2">
        <v>4</v>
      </c>
      <c r="AI126">
        <v>4</v>
      </c>
      <c r="AJ126">
        <v>3</v>
      </c>
      <c r="AK126">
        <v>4</v>
      </c>
      <c r="AY126">
        <v>25.8414817265</v>
      </c>
      <c r="AZ126">
        <v>41.849520079500003</v>
      </c>
      <c r="BA126">
        <v>27.204264975499999</v>
      </c>
      <c r="BB126">
        <v>50.557884825499997</v>
      </c>
    </row>
    <row r="127" spans="1:54" x14ac:dyDescent="0.25">
      <c r="A127">
        <v>126</v>
      </c>
      <c r="B127" t="s">
        <v>397</v>
      </c>
      <c r="C127" t="s">
        <v>111</v>
      </c>
      <c r="D127" s="1" t="d">
        <v>2019-06-22T08:08:18.9999999292194825</v>
      </c>
      <c r="E127" s="1" t="d">
        <v>2019-06-22T09:06:44.99999974854290475</v>
      </c>
      <c r="F127" t="s">
        <v>398</v>
      </c>
      <c r="G127">
        <v>2</v>
      </c>
      <c r="H127">
        <v>1</v>
      </c>
      <c r="I127">
        <v>1</v>
      </c>
      <c r="J127">
        <v>3</v>
      </c>
      <c r="K127">
        <v>2</v>
      </c>
      <c r="L127">
        <v>3</v>
      </c>
      <c r="M127">
        <v>3</v>
      </c>
      <c r="N127">
        <v>3</v>
      </c>
      <c r="O127" s="2">
        <v>2</v>
      </c>
      <c r="P127" s="2">
        <v>3</v>
      </c>
      <c r="Q127" s="2">
        <v>5</v>
      </c>
      <c r="R127">
        <v>3</v>
      </c>
      <c r="S127">
        <v>2</v>
      </c>
      <c r="T127">
        <v>2</v>
      </c>
      <c r="AY127">
        <v>33.416829450500003</v>
      </c>
      <c r="AZ127">
        <v>48.933247999000002</v>
      </c>
    </row>
    <row r="128" spans="1:54" x14ac:dyDescent="0.25">
      <c r="A128">
        <v>127</v>
      </c>
      <c r="B128" t="s">
        <v>399</v>
      </c>
      <c r="C128" t="s">
        <v>111</v>
      </c>
      <c r="D128" s="1" t="d">
        <v>2019-09-01T17:35:06.99999989010393300</v>
      </c>
      <c r="E128" s="1" t="d">
        <v>2019-09-01T18:08:48.99999981746077350</v>
      </c>
      <c r="F128" t="s">
        <v>400</v>
      </c>
      <c r="G128">
        <v>2</v>
      </c>
      <c r="H128">
        <v>1</v>
      </c>
      <c r="I128">
        <v>1</v>
      </c>
      <c r="J128">
        <v>4</v>
      </c>
      <c r="K128">
        <v>3</v>
      </c>
      <c r="L128">
        <v>4</v>
      </c>
      <c r="M128">
        <v>3</v>
      </c>
      <c r="N128">
        <v>2</v>
      </c>
      <c r="O128" s="2">
        <v>2</v>
      </c>
      <c r="P128" s="2">
        <v>1</v>
      </c>
      <c r="Q128" s="2">
        <v>5</v>
      </c>
      <c r="R128">
        <v>4</v>
      </c>
      <c r="S128">
        <v>3</v>
      </c>
      <c r="T128">
        <v>2</v>
      </c>
      <c r="U128" s="1" t="d">
        <v>2020-01-12T12:33:30.9999998705461650</v>
      </c>
      <c r="V128" s="1" t="d">
        <v>2020-01-12T13:02:45.00000001396983525</v>
      </c>
      <c r="W128" t="s">
        <v>401</v>
      </c>
      <c r="X128">
        <v>3</v>
      </c>
      <c r="Y128">
        <v>1</v>
      </c>
      <c r="Z128">
        <v>1</v>
      </c>
      <c r="AA128">
        <v>2</v>
      </c>
      <c r="AB128">
        <v>2</v>
      </c>
      <c r="AC128">
        <v>3</v>
      </c>
      <c r="AD128">
        <v>3</v>
      </c>
      <c r="AE128">
        <v>2</v>
      </c>
      <c r="AF128" s="2">
        <v>2</v>
      </c>
      <c r="AG128" s="2">
        <v>2</v>
      </c>
      <c r="AH128" s="2">
        <v>5</v>
      </c>
      <c r="AI128">
        <v>5</v>
      </c>
      <c r="AJ128">
        <v>3</v>
      </c>
      <c r="AK128">
        <v>3</v>
      </c>
      <c r="AY128">
        <v>35.873859957000001</v>
      </c>
      <c r="AZ128">
        <v>51.8938757405</v>
      </c>
      <c r="BA128">
        <v>37.432201735</v>
      </c>
      <c r="BB128">
        <v>54.534738836000002</v>
      </c>
    </row>
    <row r="129" spans="1:54" x14ac:dyDescent="0.25">
      <c r="A129">
        <v>128</v>
      </c>
      <c r="B129" t="s">
        <v>402</v>
      </c>
      <c r="C129" t="s">
        <v>111</v>
      </c>
      <c r="D129" s="1" t="d">
        <v>2019-07-20T05:37:49.000000040978193525</v>
      </c>
      <c r="E129" s="1" t="d">
        <v>2019-07-20T06:26:46.99999972712248800</v>
      </c>
      <c r="F129" t="s">
        <v>403</v>
      </c>
      <c r="G129">
        <v>2</v>
      </c>
      <c r="H129">
        <v>2</v>
      </c>
      <c r="I129">
        <v>2</v>
      </c>
      <c r="J129">
        <v>3</v>
      </c>
      <c r="K129">
        <v>2</v>
      </c>
      <c r="L129">
        <v>3</v>
      </c>
      <c r="M129">
        <v>2</v>
      </c>
      <c r="N129">
        <v>4</v>
      </c>
      <c r="O129" s="2">
        <v>3</v>
      </c>
      <c r="P129" s="2">
        <v>2</v>
      </c>
      <c r="Q129" s="2">
        <v>3</v>
      </c>
      <c r="R129">
        <v>4</v>
      </c>
      <c r="S129">
        <v>1</v>
      </c>
      <c r="T129">
        <v>1</v>
      </c>
      <c r="U129" s="1" t="d">
        <v>2019-12-20T17:10:00.0000002793967725</v>
      </c>
      <c r="V129" s="1" t="d">
        <v>2019-12-20T18:35:58.99999989196658175</v>
      </c>
      <c r="W129" t="s">
        <v>404</v>
      </c>
      <c r="X129">
        <v>2</v>
      </c>
      <c r="Y129">
        <v>1</v>
      </c>
      <c r="Z129">
        <v>2</v>
      </c>
      <c r="AA129">
        <v>4</v>
      </c>
      <c r="AB129">
        <v>3</v>
      </c>
      <c r="AC129">
        <v>3</v>
      </c>
      <c r="AD129">
        <v>4</v>
      </c>
      <c r="AE129">
        <v>5</v>
      </c>
      <c r="AF129" s="2">
        <v>6</v>
      </c>
      <c r="AG129" s="2">
        <v>6</v>
      </c>
      <c r="AH129" s="2">
        <v>2</v>
      </c>
      <c r="AI129">
        <v>3</v>
      </c>
      <c r="AJ129">
        <v>1</v>
      </c>
      <c r="AK129">
        <v>2</v>
      </c>
      <c r="AY129">
        <v>39.953095005000002</v>
      </c>
      <c r="AZ129">
        <v>44.150104528</v>
      </c>
      <c r="BA129">
        <v>32.416870319499999</v>
      </c>
      <c r="BB129">
        <v>25.915752298499999</v>
      </c>
    </row>
    <row r="130" spans="1:54" x14ac:dyDescent="0.25">
      <c r="A130">
        <v>129</v>
      </c>
      <c r="B130" t="s">
        <v>405</v>
      </c>
      <c r="C130" t="s">
        <v>111</v>
      </c>
      <c r="D130" s="1" t="d">
        <v>2019-07-27T16:54:13.99999979417770800</v>
      </c>
      <c r="E130" s="1" t="d">
        <v>2019-07-27T17:23:45.99999974481761400</v>
      </c>
      <c r="F130" t="s">
        <v>406</v>
      </c>
      <c r="G130">
        <v>3</v>
      </c>
      <c r="H130">
        <v>2</v>
      </c>
      <c r="I130">
        <v>3</v>
      </c>
      <c r="J130">
        <v>2</v>
      </c>
      <c r="K130">
        <v>2</v>
      </c>
      <c r="L130">
        <v>5</v>
      </c>
      <c r="M130">
        <v>5</v>
      </c>
      <c r="N130">
        <v>2</v>
      </c>
      <c r="O130" s="2">
        <v>2</v>
      </c>
      <c r="P130" s="2">
        <v>2</v>
      </c>
      <c r="Q130" s="2">
        <v>4</v>
      </c>
      <c r="R130">
        <v>4</v>
      </c>
      <c r="S130">
        <v>3</v>
      </c>
      <c r="T130">
        <v>4</v>
      </c>
      <c r="U130" s="1" t="d">
        <v>2019-12-14T19:02:59.99999974854290475</v>
      </c>
      <c r="V130" s="1" t="d">
        <v>2019-12-14T19:37:40.00000003259628900</v>
      </c>
      <c r="W130" t="s">
        <v>407</v>
      </c>
      <c r="X130">
        <v>3</v>
      </c>
      <c r="Y130">
        <v>3</v>
      </c>
      <c r="Z130">
        <v>3</v>
      </c>
      <c r="AA130">
        <v>5</v>
      </c>
      <c r="AB130">
        <v>3</v>
      </c>
      <c r="AC130">
        <v>5</v>
      </c>
      <c r="AD130">
        <v>5</v>
      </c>
      <c r="AE130">
        <v>4</v>
      </c>
      <c r="AF130" s="2">
        <v>2</v>
      </c>
      <c r="AG130" s="2">
        <v>1</v>
      </c>
      <c r="AH130" s="2">
        <v>5</v>
      </c>
      <c r="AI130">
        <v>2</v>
      </c>
      <c r="AJ130">
        <v>1</v>
      </c>
      <c r="AK130">
        <v>1</v>
      </c>
      <c r="AY130">
        <v>53.614382107499999</v>
      </c>
      <c r="AZ130">
        <v>33.522255897500003</v>
      </c>
      <c r="BA130">
        <v>42.239293829499999</v>
      </c>
      <c r="BB130">
        <v>34.417658930499996</v>
      </c>
    </row>
    <row r="131" spans="1:54" x14ac:dyDescent="0.25">
      <c r="A131">
        <v>130</v>
      </c>
      <c r="B131" t="s">
        <v>408</v>
      </c>
      <c r="C131" t="s">
        <v>111</v>
      </c>
      <c r="D131" s="1" t="d">
        <v>2019-07-16T14:09:30.00000018160789875</v>
      </c>
      <c r="E131" s="1" t="d">
        <v>2019-07-16T14:26:16.9999998388811945700</v>
      </c>
      <c r="F131" t="s">
        <v>409</v>
      </c>
      <c r="G131">
        <v>3</v>
      </c>
      <c r="H131">
        <v>2</v>
      </c>
      <c r="I131">
        <v>3</v>
      </c>
      <c r="J131">
        <v>4</v>
      </c>
      <c r="K131">
        <v>4</v>
      </c>
      <c r="L131">
        <v>4</v>
      </c>
      <c r="M131">
        <v>4</v>
      </c>
      <c r="N131">
        <v>4</v>
      </c>
      <c r="O131" s="2">
        <v>5</v>
      </c>
      <c r="P131" s="2">
        <v>6</v>
      </c>
      <c r="Q131" s="2">
        <v>2</v>
      </c>
      <c r="R131">
        <v>3</v>
      </c>
      <c r="S131">
        <v>2</v>
      </c>
      <c r="T131">
        <v>1</v>
      </c>
      <c r="AY131">
        <v>39.542806912000003</v>
      </c>
      <c r="AZ131">
        <v>21.612899949500001</v>
      </c>
    </row>
    <row r="132" spans="1:54" x14ac:dyDescent="0.25">
      <c r="A132">
        <v>131</v>
      </c>
      <c r="B132" t="s">
        <v>410</v>
      </c>
      <c r="C132" t="s">
        <v>111</v>
      </c>
      <c r="D132" s="1" t="d">
        <v>2019-07-23T12:42:25.9999998332932575</v>
      </c>
      <c r="E132" s="1" t="d">
        <v>2019-07-23T13:21:06.0000002710148700</v>
      </c>
      <c r="F132" t="s">
        <v>411</v>
      </c>
      <c r="G132">
        <v>4</v>
      </c>
      <c r="H132">
        <v>1</v>
      </c>
      <c r="I132">
        <v>1</v>
      </c>
      <c r="J132">
        <v>4</v>
      </c>
      <c r="K132">
        <v>2</v>
      </c>
      <c r="L132">
        <v>4</v>
      </c>
      <c r="M132">
        <v>3</v>
      </c>
      <c r="N132">
        <v>3</v>
      </c>
      <c r="O132" s="2">
        <v>2</v>
      </c>
      <c r="P132" s="2">
        <v>2</v>
      </c>
      <c r="Q132" s="2">
        <v>2</v>
      </c>
      <c r="R132">
        <v>3</v>
      </c>
      <c r="S132">
        <v>4</v>
      </c>
      <c r="T132">
        <v>3</v>
      </c>
      <c r="U132" s="1" t="d">
        <v>2019-12-14T22:02:59.99999974854290475</v>
      </c>
      <c r="V132" s="1" t="d">
        <v>2019-12-14T22:40:04.99999998137354625</v>
      </c>
      <c r="W132" t="s">
        <v>412</v>
      </c>
      <c r="X132">
        <v>4</v>
      </c>
      <c r="Y132">
        <v>1</v>
      </c>
      <c r="Z132">
        <v>1</v>
      </c>
      <c r="AA132">
        <v>5</v>
      </c>
      <c r="AB132">
        <v>4</v>
      </c>
      <c r="AC132">
        <v>5</v>
      </c>
      <c r="AD132">
        <v>4</v>
      </c>
      <c r="AE132">
        <v>4</v>
      </c>
      <c r="AF132" s="2">
        <v>2</v>
      </c>
      <c r="AG132" s="2">
        <v>1</v>
      </c>
      <c r="AH132" s="2">
        <v>5</v>
      </c>
      <c r="AI132">
        <v>4</v>
      </c>
      <c r="AJ132">
        <v>1</v>
      </c>
      <c r="AK132">
        <v>1</v>
      </c>
      <c r="AY132">
        <v>32.952844672499999</v>
      </c>
      <c r="AZ132">
        <v>38.867038248</v>
      </c>
      <c r="BA132">
        <v>23.862876567000001</v>
      </c>
      <c r="BB132">
        <v>49.214922412999996</v>
      </c>
    </row>
    <row r="133" spans="1:54" x14ac:dyDescent="0.25">
      <c r="A133">
        <v>132</v>
      </c>
      <c r="B133" t="s">
        <v>413</v>
      </c>
      <c r="C133" t="s">
        <v>111</v>
      </c>
      <c r="D133" s="1" t="d">
        <v>2019-08-02T07:00:56.99999991338699850</v>
      </c>
      <c r="E133" s="1" t="d">
        <v>2019-08-02T07:42:45.00000029336660775</v>
      </c>
      <c r="F133" t="s">
        <v>414</v>
      </c>
      <c r="G133">
        <v>3</v>
      </c>
      <c r="H133">
        <v>2</v>
      </c>
      <c r="I133">
        <v>2</v>
      </c>
      <c r="J133">
        <v>3</v>
      </c>
      <c r="K133">
        <v>3</v>
      </c>
      <c r="L133">
        <v>4</v>
      </c>
      <c r="M133">
        <v>2</v>
      </c>
      <c r="N133">
        <v>3</v>
      </c>
      <c r="O133" s="2">
        <v>5</v>
      </c>
      <c r="P133" s="2">
        <v>2</v>
      </c>
      <c r="Q133" s="2">
        <v>3</v>
      </c>
      <c r="R133">
        <v>5</v>
      </c>
      <c r="S133">
        <v>4</v>
      </c>
      <c r="T133">
        <v>3</v>
      </c>
      <c r="U133" s="1" t="d">
        <v>2019-12-05T16:26:58.999999808147550</v>
      </c>
      <c r="V133" s="1" t="d">
        <v>2019-12-05T16:55:45.99999992642551950</v>
      </c>
      <c r="W133" t="s">
        <v>415</v>
      </c>
      <c r="X133">
        <v>3</v>
      </c>
      <c r="Y133">
        <v>1</v>
      </c>
      <c r="Z133">
        <v>2</v>
      </c>
      <c r="AA133">
        <v>3</v>
      </c>
      <c r="AB133">
        <v>4</v>
      </c>
      <c r="AC133">
        <v>5</v>
      </c>
      <c r="AD133">
        <v>3</v>
      </c>
      <c r="AE133">
        <v>2</v>
      </c>
      <c r="AF133" s="2">
        <v>3</v>
      </c>
      <c r="AG133" s="2">
        <v>3</v>
      </c>
      <c r="AH133" s="2">
        <v>3</v>
      </c>
      <c r="AI133">
        <v>4</v>
      </c>
      <c r="AJ133">
        <v>5</v>
      </c>
      <c r="AK133">
        <v>2</v>
      </c>
      <c r="AY133">
        <v>42.743977989999998</v>
      </c>
      <c r="AZ133">
        <v>39.350867678500002</v>
      </c>
      <c r="BA133">
        <v>40.821880970499997</v>
      </c>
      <c r="BB133">
        <v>36.217321568499997</v>
      </c>
    </row>
    <row r="134" spans="1:54" x14ac:dyDescent="0.25">
      <c r="A134">
        <v>133</v>
      </c>
      <c r="B134" t="s">
        <v>416</v>
      </c>
      <c r="C134" t="s">
        <v>111</v>
      </c>
      <c r="D134" s="1" t="d">
        <v>2019-09-29T10:30:09.999999823048710975</v>
      </c>
      <c r="E134" s="1" t="d">
        <v>2019-09-29T10:54:26.99999968986958050</v>
      </c>
      <c r="F134" t="s">
        <v>417</v>
      </c>
      <c r="G134">
        <v>2</v>
      </c>
      <c r="H134">
        <v>2</v>
      </c>
      <c r="I134">
        <v>3</v>
      </c>
      <c r="J134">
        <v>3</v>
      </c>
      <c r="K134">
        <v>3</v>
      </c>
      <c r="L134">
        <v>3</v>
      </c>
      <c r="M134">
        <v>3</v>
      </c>
      <c r="N134">
        <v>4</v>
      </c>
      <c r="O134" s="2">
        <v>3</v>
      </c>
      <c r="P134" s="2">
        <v>2</v>
      </c>
      <c r="Q134" s="2">
        <v>4</v>
      </c>
      <c r="R134">
        <v>2</v>
      </c>
      <c r="S134">
        <v>2</v>
      </c>
      <c r="T134">
        <v>1</v>
      </c>
      <c r="U134" s="1" t="d">
        <v>2020-02-11T08:57:11.9999997038394225</v>
      </c>
      <c r="V134" s="1" t="d">
        <v>2020-02-11T09:14:41.9999999832361950</v>
      </c>
      <c r="W134" t="s">
        <v>418</v>
      </c>
      <c r="X134">
        <v>2</v>
      </c>
      <c r="Y134">
        <v>2</v>
      </c>
      <c r="Z134">
        <v>2</v>
      </c>
      <c r="AA134">
        <v>3</v>
      </c>
      <c r="AB134">
        <v>4</v>
      </c>
      <c r="AC134">
        <v>3</v>
      </c>
      <c r="AD134">
        <v>3</v>
      </c>
      <c r="AE134">
        <v>4</v>
      </c>
      <c r="AF134" s="2">
        <v>2</v>
      </c>
      <c r="AG134" s="2">
        <v>1</v>
      </c>
      <c r="AH134" s="2">
        <v>5</v>
      </c>
      <c r="AI134">
        <v>4</v>
      </c>
      <c r="AJ134">
        <v>2</v>
      </c>
      <c r="AK134">
        <v>2</v>
      </c>
      <c r="AY134">
        <v>41.350039934999998</v>
      </c>
      <c r="AZ134">
        <v>38.724650386500002</v>
      </c>
      <c r="BA134">
        <v>34.668757601999999</v>
      </c>
      <c r="BB134">
        <v>52.912775445500003</v>
      </c>
    </row>
    <row r="135" spans="1:54" x14ac:dyDescent="0.25">
      <c r="A135">
        <v>134</v>
      </c>
      <c r="B135" t="s">
        <v>419</v>
      </c>
      <c r="C135" t="s">
        <v>111</v>
      </c>
      <c r="D135" s="1" t="d">
        <v>2019-08-05T16:17:33.00000014249235600</v>
      </c>
      <c r="E135" s="1" t="d">
        <v>2019-08-05T17:29:00.99999982863664575</v>
      </c>
      <c r="F135" t="s">
        <v>420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4</v>
      </c>
      <c r="M135">
        <v>4</v>
      </c>
      <c r="N135">
        <v>3</v>
      </c>
      <c r="O135" s="2">
        <v>2</v>
      </c>
      <c r="P135" s="2">
        <v>1</v>
      </c>
      <c r="Q135" s="2">
        <v>4</v>
      </c>
      <c r="R135">
        <v>5</v>
      </c>
      <c r="S135">
        <v>2</v>
      </c>
      <c r="T135">
        <v>2</v>
      </c>
      <c r="U135" s="1" t="d">
        <v>2019-12-10T19:02:59.99999974854290475</v>
      </c>
      <c r="V135" s="1" t="d">
        <v>2019-12-10T19:36:57.00000003911554950</v>
      </c>
      <c r="W135" t="s">
        <v>421</v>
      </c>
      <c r="X135">
        <v>1</v>
      </c>
      <c r="Y135">
        <v>2</v>
      </c>
      <c r="Z135">
        <v>2</v>
      </c>
      <c r="AA135">
        <v>4</v>
      </c>
      <c r="AB135">
        <v>4</v>
      </c>
      <c r="AC135">
        <v>4</v>
      </c>
      <c r="AD135">
        <v>4</v>
      </c>
      <c r="AE135">
        <v>3</v>
      </c>
      <c r="AF135" s="2">
        <v>2</v>
      </c>
      <c r="AG135" s="2">
        <v>3</v>
      </c>
      <c r="AH135" s="2">
        <v>4</v>
      </c>
      <c r="AI135">
        <v>5</v>
      </c>
      <c r="AJ135">
        <v>2</v>
      </c>
      <c r="AK135">
        <v>3</v>
      </c>
      <c r="AY135">
        <v>46.947453084499998</v>
      </c>
      <c r="AZ135">
        <v>44.9793389445</v>
      </c>
      <c r="BA135">
        <v>39.629881736999998</v>
      </c>
      <c r="BB135">
        <v>44.679801165500002</v>
      </c>
    </row>
    <row r="136" spans="1:54" x14ac:dyDescent="0.25">
      <c r="A136">
        <v>135</v>
      </c>
      <c r="B136" t="s">
        <v>422</v>
      </c>
      <c r="C136" t="s">
        <v>111</v>
      </c>
      <c r="D136" s="1" t="d">
        <v>2019-09-10T12:18:37.0000002253800600</v>
      </c>
      <c r="E136" s="1" t="d">
        <v>2019-09-10T13:05:49.00000027846545150</v>
      </c>
      <c r="F136" t="s">
        <v>423</v>
      </c>
      <c r="G136">
        <v>3</v>
      </c>
      <c r="H136">
        <v>2</v>
      </c>
      <c r="I136">
        <v>3</v>
      </c>
      <c r="J136">
        <v>4</v>
      </c>
      <c r="K136">
        <v>4</v>
      </c>
      <c r="L136">
        <v>4</v>
      </c>
      <c r="M136">
        <v>4</v>
      </c>
      <c r="N136">
        <v>4</v>
      </c>
      <c r="O136" s="2">
        <v>2</v>
      </c>
      <c r="P136" s="2">
        <v>1</v>
      </c>
      <c r="Q136" s="2">
        <v>5</v>
      </c>
      <c r="R136">
        <v>3</v>
      </c>
      <c r="S136">
        <v>5</v>
      </c>
      <c r="T136">
        <v>5</v>
      </c>
      <c r="U136" s="1" t="d">
        <v>2019-12-22T19:37:51.00000008940696450</v>
      </c>
      <c r="V136" s="1" t="d">
        <v>2019-12-22T19:59:41.00000016856938450</v>
      </c>
      <c r="W136" t="s">
        <v>424</v>
      </c>
      <c r="X136">
        <v>3</v>
      </c>
      <c r="Y136">
        <v>2</v>
      </c>
      <c r="Z136">
        <v>3</v>
      </c>
      <c r="AA136">
        <v>2</v>
      </c>
      <c r="AB136">
        <v>4</v>
      </c>
      <c r="AC136">
        <v>2</v>
      </c>
      <c r="AD136">
        <v>4</v>
      </c>
      <c r="AE136">
        <v>4</v>
      </c>
      <c r="AF136" s="2">
        <v>3</v>
      </c>
      <c r="AG136" s="2">
        <v>5</v>
      </c>
      <c r="AH136" s="2">
        <v>2</v>
      </c>
      <c r="AI136">
        <v>2</v>
      </c>
      <c r="AJ136">
        <v>5</v>
      </c>
      <c r="AK136">
        <v>5</v>
      </c>
      <c r="AY136">
        <v>36.793247342000001</v>
      </c>
      <c r="AZ136">
        <v>44.082856825500002</v>
      </c>
      <c r="BA136">
        <v>39.035448056500002</v>
      </c>
      <c r="BB136">
        <v>29.739076405999999</v>
      </c>
    </row>
    <row r="137" spans="1:54" x14ac:dyDescent="0.25">
      <c r="A137">
        <v>136</v>
      </c>
      <c r="B137" t="s">
        <v>425</v>
      </c>
      <c r="C137" t="s">
        <v>111</v>
      </c>
      <c r="D137" s="1" t="d">
        <v>2019-08-06T13:19:07.999999718740582800</v>
      </c>
      <c r="E137" s="1" t="d">
        <v>2019-08-06T14:26:53.999999687075614800</v>
      </c>
      <c r="F137" t="s">
        <v>426</v>
      </c>
      <c r="G137">
        <v>1</v>
      </c>
      <c r="H137">
        <v>3</v>
      </c>
      <c r="I137">
        <v>3</v>
      </c>
      <c r="J137">
        <v>3</v>
      </c>
      <c r="K137">
        <v>4</v>
      </c>
      <c r="L137">
        <v>4</v>
      </c>
      <c r="M137">
        <v>3</v>
      </c>
      <c r="N137">
        <v>5</v>
      </c>
      <c r="O137" s="2">
        <v>2</v>
      </c>
      <c r="P137" s="2">
        <v>1</v>
      </c>
      <c r="Q137" s="2">
        <v>6</v>
      </c>
      <c r="R137">
        <v>5</v>
      </c>
      <c r="S137">
        <v>1</v>
      </c>
      <c r="T137">
        <v>2</v>
      </c>
      <c r="U137" s="1" t="d">
        <v>2020-01-11T20:51:35.99999974016100225</v>
      </c>
      <c r="V137" s="1" t="d">
        <v>2020-01-11T23:29:46.99999989476055150</v>
      </c>
      <c r="W137" t="s">
        <v>427</v>
      </c>
      <c r="X137">
        <v>2</v>
      </c>
      <c r="Y137">
        <v>1</v>
      </c>
      <c r="Z137">
        <v>2</v>
      </c>
      <c r="AA137">
        <v>4</v>
      </c>
      <c r="AB137">
        <v>4</v>
      </c>
      <c r="AC137">
        <v>4</v>
      </c>
      <c r="AD137">
        <v>2</v>
      </c>
      <c r="AE137">
        <v>4</v>
      </c>
      <c r="AF137" s="2">
        <v>1</v>
      </c>
      <c r="AG137" s="2">
        <v>2</v>
      </c>
      <c r="AH137" s="2">
        <v>4</v>
      </c>
      <c r="AI137">
        <v>4</v>
      </c>
      <c r="AJ137">
        <v>2</v>
      </c>
      <c r="AK137">
        <v>2</v>
      </c>
      <c r="AY137">
        <v>39.976128420999999</v>
      </c>
      <c r="AZ137">
        <v>52.689292823999999</v>
      </c>
      <c r="BA137">
        <v>29.87597568</v>
      </c>
      <c r="BB137">
        <v>51.983751300999998</v>
      </c>
    </row>
    <row r="138" spans="1:54" x14ac:dyDescent="0.25">
      <c r="A138">
        <v>137</v>
      </c>
      <c r="B138" t="s">
        <v>428</v>
      </c>
      <c r="C138" t="s">
        <v>111</v>
      </c>
      <c r="D138" s="1" t="d">
        <v>2019-09-03T07:49:07.99999992828816150</v>
      </c>
      <c r="E138" s="1" t="d">
        <v>2019-09-03T08:28:11.99999968986958050</v>
      </c>
      <c r="F138" t="s">
        <v>429</v>
      </c>
      <c r="G138">
        <v>2</v>
      </c>
      <c r="H138">
        <v>2</v>
      </c>
      <c r="I138">
        <v>2</v>
      </c>
      <c r="J138">
        <v>3</v>
      </c>
      <c r="K138">
        <v>3</v>
      </c>
      <c r="L138">
        <v>5</v>
      </c>
      <c r="M138">
        <v>4</v>
      </c>
      <c r="N138">
        <v>4</v>
      </c>
      <c r="O138" s="2">
        <v>2</v>
      </c>
      <c r="P138" s="2">
        <v>1</v>
      </c>
      <c r="Q138" s="2">
        <v>5</v>
      </c>
      <c r="R138">
        <v>2</v>
      </c>
      <c r="S138">
        <v>3</v>
      </c>
      <c r="T138">
        <v>2</v>
      </c>
      <c r="U138" s="1" t="d">
        <v>2020-01-14T00:43:21.00000011734664175</v>
      </c>
      <c r="V138" s="1" t="d">
        <v>2020-01-14T01:16:37.00000025331973725</v>
      </c>
      <c r="W138" t="s">
        <v>430</v>
      </c>
      <c r="X138">
        <v>1</v>
      </c>
      <c r="Y138">
        <v>2</v>
      </c>
      <c r="Z138">
        <v>1</v>
      </c>
      <c r="AA138">
        <v>5</v>
      </c>
      <c r="AB138">
        <v>5</v>
      </c>
      <c r="AC138">
        <v>5</v>
      </c>
      <c r="AD138">
        <v>5</v>
      </c>
      <c r="AE138">
        <v>3</v>
      </c>
      <c r="AF138" s="2">
        <v>2</v>
      </c>
      <c r="AG138" s="2">
        <v>1</v>
      </c>
      <c r="AH138" s="2">
        <v>6</v>
      </c>
      <c r="AI138">
        <v>5</v>
      </c>
      <c r="AJ138">
        <v>2</v>
      </c>
      <c r="AK138">
        <v>2</v>
      </c>
      <c r="AY138">
        <v>39.978763847000003</v>
      </c>
      <c r="AZ138">
        <v>38.511684178000003</v>
      </c>
      <c r="BA138">
        <v>33.552718370999997</v>
      </c>
      <c r="BB138">
        <v>51.067581173999997</v>
      </c>
    </row>
    <row r="139" spans="1:54" x14ac:dyDescent="0.25">
      <c r="A139">
        <v>138</v>
      </c>
      <c r="B139" t="s">
        <v>431</v>
      </c>
      <c r="C139" t="s">
        <v>111</v>
      </c>
      <c r="D139" s="1" t="d">
        <v>2019-09-07T22:29:01.00000003818422850</v>
      </c>
      <c r="E139" s="1" t="d">
        <v>2019-09-08T20:30:36.0000000335276100</v>
      </c>
      <c r="F139" t="s">
        <v>432</v>
      </c>
      <c r="G139">
        <v>3</v>
      </c>
      <c r="H139">
        <v>2</v>
      </c>
      <c r="I139">
        <v>2</v>
      </c>
      <c r="J139">
        <v>3</v>
      </c>
      <c r="K139">
        <v>3</v>
      </c>
      <c r="L139">
        <v>4</v>
      </c>
      <c r="M139">
        <v>4</v>
      </c>
      <c r="N139">
        <v>3</v>
      </c>
      <c r="O139" s="2">
        <v>3</v>
      </c>
      <c r="P139" s="2">
        <v>2</v>
      </c>
      <c r="Q139" s="2">
        <v>3</v>
      </c>
      <c r="R139">
        <v>3</v>
      </c>
      <c r="S139">
        <v>2</v>
      </c>
      <c r="T139">
        <v>2</v>
      </c>
      <c r="U139" s="1" t="d">
        <v>2020-01-30T12:56:21.0000001452863216325</v>
      </c>
      <c r="V139" s="1" t="d">
        <v>2020-01-30T13:41:45.999999702908098800</v>
      </c>
      <c r="W139" t="s">
        <v>433</v>
      </c>
      <c r="X139">
        <v>3</v>
      </c>
      <c r="Y139">
        <v>2</v>
      </c>
      <c r="Z139">
        <v>2</v>
      </c>
      <c r="AA139">
        <v>3</v>
      </c>
      <c r="AB139">
        <v>3</v>
      </c>
      <c r="AC139">
        <v>2</v>
      </c>
      <c r="AD139">
        <v>2</v>
      </c>
      <c r="AE139">
        <v>2</v>
      </c>
      <c r="AF139" s="2">
        <v>3</v>
      </c>
      <c r="AG139" s="2">
        <v>3</v>
      </c>
      <c r="AH139" s="2">
        <v>3</v>
      </c>
      <c r="AI139">
        <v>3</v>
      </c>
      <c r="AJ139">
        <v>4</v>
      </c>
      <c r="AK139">
        <v>3</v>
      </c>
      <c r="AY139">
        <v>42.430466584999998</v>
      </c>
      <c r="AZ139">
        <v>34.254917910499998</v>
      </c>
      <c r="BA139">
        <v>40.687099887999999</v>
      </c>
      <c r="BB139">
        <v>42.635013638499998</v>
      </c>
    </row>
    <row r="140" spans="1:54" x14ac:dyDescent="0.25">
      <c r="A140">
        <v>139</v>
      </c>
      <c r="B140" t="s">
        <v>434</v>
      </c>
      <c r="C140" t="s">
        <v>111</v>
      </c>
      <c r="D140" s="1" t="d">
        <v>2019-09-12T01:17:31.00000030361115900</v>
      </c>
      <c r="E140" s="1" t="d">
        <v>2019-09-12T01:46:57.99999971408396700</v>
      </c>
      <c r="F140" t="s">
        <v>435</v>
      </c>
      <c r="G140">
        <v>3</v>
      </c>
      <c r="H140">
        <v>1</v>
      </c>
      <c r="I140">
        <v>1</v>
      </c>
      <c r="J140">
        <v>1</v>
      </c>
      <c r="K140">
        <v>1</v>
      </c>
      <c r="L140">
        <v>4</v>
      </c>
      <c r="M140">
        <v>4</v>
      </c>
      <c r="N140">
        <v>3</v>
      </c>
      <c r="O140" s="2">
        <v>3</v>
      </c>
      <c r="P140" s="2">
        <v>2</v>
      </c>
      <c r="Q140" s="2">
        <v>3</v>
      </c>
      <c r="R140">
        <v>4</v>
      </c>
      <c r="S140">
        <v>4</v>
      </c>
      <c r="T140">
        <v>3</v>
      </c>
      <c r="U140" s="1" t="d">
        <v>2020-01-22T06:53:23.00000002607703525</v>
      </c>
      <c r="V140" s="1" t="d">
        <v>2020-01-22T07:25:10.00000010244548550</v>
      </c>
      <c r="W140" t="s">
        <v>436</v>
      </c>
      <c r="X140">
        <v>2</v>
      </c>
      <c r="Y140">
        <v>1</v>
      </c>
      <c r="Z140">
        <v>2</v>
      </c>
      <c r="AA140">
        <v>4</v>
      </c>
      <c r="AB140">
        <v>2</v>
      </c>
      <c r="AC140">
        <v>3</v>
      </c>
      <c r="AD140">
        <v>2</v>
      </c>
      <c r="AE140">
        <v>4</v>
      </c>
      <c r="AF140" s="2">
        <v>3</v>
      </c>
      <c r="AG140" s="2">
        <v>1</v>
      </c>
      <c r="AH140" s="2">
        <v>3</v>
      </c>
      <c r="AI140">
        <v>4</v>
      </c>
      <c r="AJ140">
        <v>2</v>
      </c>
      <c r="AK140">
        <v>3</v>
      </c>
      <c r="AY140">
        <v>42.843299627500002</v>
      </c>
      <c r="AZ140">
        <v>37.831756878</v>
      </c>
      <c r="BA140">
        <v>35.506827817000001</v>
      </c>
      <c r="BB140">
        <v>47.942917129999998</v>
      </c>
    </row>
    <row r="141" spans="1:54" x14ac:dyDescent="0.25">
      <c r="A141">
        <v>140</v>
      </c>
      <c r="B141" t="s">
        <v>437</v>
      </c>
      <c r="C141" t="s">
        <v>111</v>
      </c>
      <c r="D141" s="1" t="d">
        <v>2019-09-23T08:11:04.99999975785612825</v>
      </c>
      <c r="E141" s="1" t="d">
        <v>2019-10-14T19:22:58.00000004936009400</v>
      </c>
      <c r="F141" t="s">
        <v>438</v>
      </c>
      <c r="G141">
        <v>2</v>
      </c>
      <c r="H141">
        <v>3</v>
      </c>
      <c r="I141">
        <v>3</v>
      </c>
      <c r="J141">
        <v>4</v>
      </c>
      <c r="K141">
        <v>4</v>
      </c>
      <c r="L141">
        <v>3</v>
      </c>
      <c r="M141">
        <v>3</v>
      </c>
      <c r="N141">
        <v>3</v>
      </c>
      <c r="O141" s="2">
        <v>3</v>
      </c>
      <c r="P141" s="2">
        <v>3</v>
      </c>
      <c r="Q141" s="2">
        <v>4</v>
      </c>
      <c r="R141">
        <v>4</v>
      </c>
      <c r="S141">
        <v>2</v>
      </c>
      <c r="T141">
        <v>3</v>
      </c>
      <c r="U141" s="1" t="d">
        <v>2020-02-19T13:40:16.00000003818422850</v>
      </c>
      <c r="V141" s="1" t="d">
        <v>2020-02-23T20:28:41.99999978765845425</v>
      </c>
      <c r="W141" t="s">
        <v>439</v>
      </c>
      <c r="X141">
        <v>2</v>
      </c>
      <c r="Y141">
        <v>2</v>
      </c>
      <c r="Z141">
        <v>2</v>
      </c>
      <c r="AA141">
        <v>3</v>
      </c>
      <c r="AB141">
        <v>4</v>
      </c>
      <c r="AC141">
        <v>3</v>
      </c>
      <c r="AD141">
        <v>3</v>
      </c>
      <c r="AE141">
        <v>5</v>
      </c>
      <c r="AF141" s="2">
        <v>2</v>
      </c>
      <c r="AG141" s="2">
        <v>2</v>
      </c>
      <c r="AH141" s="2">
        <v>4</v>
      </c>
      <c r="AI141">
        <v>3</v>
      </c>
      <c r="AJ141">
        <v>2</v>
      </c>
      <c r="AK141">
        <v>3</v>
      </c>
      <c r="AY141">
        <v>43.937418737999998</v>
      </c>
      <c r="AZ141">
        <v>41.626206044500002</v>
      </c>
      <c r="BA141">
        <v>31.6720116475</v>
      </c>
      <c r="BB141">
        <v>46.431603234999997</v>
      </c>
    </row>
    <row r="142" spans="1:54" x14ac:dyDescent="0.25">
      <c r="A142">
        <v>141</v>
      </c>
      <c r="B142" t="s">
        <v>440</v>
      </c>
      <c r="C142" t="s">
        <v>111</v>
      </c>
      <c r="D142" s="1" t="d">
        <v>2019-09-19T19:13:40.99999997299164375</v>
      </c>
      <c r="E142" s="1" t="d">
        <v>2019-09-19T19:47:41.99999994132667575</v>
      </c>
      <c r="F142" t="s">
        <v>441</v>
      </c>
      <c r="G142">
        <v>1</v>
      </c>
      <c r="H142">
        <v>3</v>
      </c>
      <c r="I142">
        <v>3</v>
      </c>
      <c r="J142">
        <v>3</v>
      </c>
      <c r="K142">
        <v>3</v>
      </c>
      <c r="L142">
        <v>3</v>
      </c>
      <c r="M142">
        <v>3</v>
      </c>
      <c r="N142">
        <v>5</v>
      </c>
      <c r="O142" s="2">
        <v>3</v>
      </c>
      <c r="P142" s="2">
        <v>1</v>
      </c>
      <c r="Q142" s="2">
        <v>4</v>
      </c>
      <c r="R142">
        <v>5</v>
      </c>
      <c r="S142">
        <v>3</v>
      </c>
      <c r="T142">
        <v>3</v>
      </c>
      <c r="AY142">
        <v>43.372758550999997</v>
      </c>
      <c r="AZ142">
        <v>47.076813741000002</v>
      </c>
    </row>
    <row r="143" spans="1:54" x14ac:dyDescent="0.25">
      <c r="A143">
        <v>142</v>
      </c>
      <c r="B143" t="s">
        <v>442</v>
      </c>
      <c r="C143" t="s">
        <v>111</v>
      </c>
      <c r="D143" s="1" t="d">
        <v>2019-09-25T20:23:32.00000024400651375</v>
      </c>
      <c r="E143" s="1" t="d">
        <v>2019-09-25T21:06:31.00000024773180450</v>
      </c>
      <c r="F143" t="s">
        <v>443</v>
      </c>
      <c r="G143">
        <v>3</v>
      </c>
      <c r="H143">
        <v>1</v>
      </c>
      <c r="I143">
        <v>1</v>
      </c>
      <c r="J143">
        <v>2</v>
      </c>
      <c r="K143">
        <v>1</v>
      </c>
      <c r="L143">
        <v>4</v>
      </c>
      <c r="M143">
        <v>3</v>
      </c>
      <c r="N143">
        <v>1</v>
      </c>
      <c r="O143" s="2">
        <v>4</v>
      </c>
      <c r="P143" s="2">
        <v>1</v>
      </c>
      <c r="Q143" s="2">
        <v>2</v>
      </c>
      <c r="R143">
        <v>3</v>
      </c>
      <c r="S143">
        <v>3</v>
      </c>
      <c r="T143">
        <v>4</v>
      </c>
      <c r="U143" s="1" t="d">
        <v>2020-02-05T19:57:51.00000022910535075</v>
      </c>
      <c r="V143" s="1" t="d">
        <v>2020-02-12T18:58:52.00000023934990200</v>
      </c>
      <c r="W143" t="s">
        <v>444</v>
      </c>
      <c r="X143">
        <v>3</v>
      </c>
      <c r="Y143">
        <v>1</v>
      </c>
      <c r="Z143">
        <v>1</v>
      </c>
      <c r="AA143">
        <v>2</v>
      </c>
      <c r="AB143">
        <v>2</v>
      </c>
      <c r="AC143">
        <v>3</v>
      </c>
      <c r="AD143">
        <v>3</v>
      </c>
      <c r="AE143">
        <v>3</v>
      </c>
      <c r="AF143" s="2">
        <v>2</v>
      </c>
      <c r="AG143" s="2">
        <v>1</v>
      </c>
      <c r="AH143" s="2">
        <v>5</v>
      </c>
      <c r="AI143">
        <v>4</v>
      </c>
      <c r="AJ143">
        <v>3</v>
      </c>
      <c r="AK143">
        <v>2</v>
      </c>
      <c r="AY143">
        <v>49.342498366999997</v>
      </c>
      <c r="AZ143">
        <v>32.762793612999999</v>
      </c>
      <c r="BA143">
        <v>34.566966284499998</v>
      </c>
      <c r="BB143">
        <v>53.818229845499999</v>
      </c>
    </row>
    <row r="144" spans="1:54" x14ac:dyDescent="0.25">
      <c r="A144">
        <v>143</v>
      </c>
      <c r="B144" t="s">
        <v>445</v>
      </c>
      <c r="C144" t="s">
        <v>111</v>
      </c>
      <c r="D144" s="1" t="d">
        <v>2019-09-25T13:34:27.00000017881393575</v>
      </c>
      <c r="E144" s="1" t="d">
        <v>2019-09-25T14:01:50.00000014901160975</v>
      </c>
      <c r="F144" t="s">
        <v>446</v>
      </c>
      <c r="G144">
        <v>4</v>
      </c>
      <c r="H144">
        <v>1</v>
      </c>
      <c r="I144">
        <v>1</v>
      </c>
      <c r="J144">
        <v>4</v>
      </c>
      <c r="K144">
        <v>1</v>
      </c>
      <c r="L144">
        <v>4</v>
      </c>
      <c r="M144">
        <v>4</v>
      </c>
      <c r="N144">
        <v>2</v>
      </c>
      <c r="O144" s="2">
        <v>3</v>
      </c>
      <c r="P144" s="2">
        <v>3</v>
      </c>
      <c r="Q144" s="2">
        <v>5</v>
      </c>
      <c r="R144">
        <v>3</v>
      </c>
      <c r="S144">
        <v>4</v>
      </c>
      <c r="T144">
        <v>2</v>
      </c>
      <c r="U144" s="1" t="d">
        <v>2020-02-13T21:59:11.99999988544732125</v>
      </c>
      <c r="V144" s="1" t="d">
        <v>2020-02-13T22:24:14.00000021327286675</v>
      </c>
      <c r="W144" t="s">
        <v>447</v>
      </c>
      <c r="X144">
        <v>3</v>
      </c>
      <c r="Y144">
        <v>2</v>
      </c>
      <c r="Z144">
        <v>2</v>
      </c>
      <c r="AA144">
        <v>3</v>
      </c>
      <c r="AB144">
        <v>5</v>
      </c>
      <c r="AC144">
        <v>3</v>
      </c>
      <c r="AD144">
        <v>3</v>
      </c>
      <c r="AE144">
        <v>3</v>
      </c>
      <c r="AF144" s="2">
        <v>3</v>
      </c>
      <c r="AG144" s="2">
        <v>3</v>
      </c>
      <c r="AH144" s="2">
        <v>3</v>
      </c>
      <c r="AI144">
        <v>3</v>
      </c>
      <c r="AJ144">
        <v>2</v>
      </c>
      <c r="AK144">
        <v>3</v>
      </c>
      <c r="AY144">
        <v>36.0099085055</v>
      </c>
      <c r="AZ144">
        <v>41.005660490499999</v>
      </c>
      <c r="BA144">
        <v>35.876700313000001</v>
      </c>
      <c r="BB144">
        <v>39.287947985999999</v>
      </c>
    </row>
    <row r="145" spans="1:54" x14ac:dyDescent="0.25">
      <c r="A145">
        <v>144</v>
      </c>
      <c r="B145" t="s">
        <v>448</v>
      </c>
      <c r="C145" t="s">
        <v>111</v>
      </c>
      <c r="D145" s="1" t="d">
        <v>2019-09-30T11:11:55.00000013038516275</v>
      </c>
      <c r="E145" s="1" t="d">
        <v>2019-09-30T11:59:15.00000016763806350</v>
      </c>
      <c r="F145" t="s">
        <v>449</v>
      </c>
      <c r="G145">
        <v>2</v>
      </c>
      <c r="H145">
        <v>1</v>
      </c>
      <c r="I145">
        <v>2</v>
      </c>
      <c r="J145">
        <v>4</v>
      </c>
      <c r="K145">
        <v>3</v>
      </c>
      <c r="L145">
        <v>4</v>
      </c>
      <c r="M145">
        <v>2</v>
      </c>
      <c r="N145">
        <v>2</v>
      </c>
      <c r="O145" s="2">
        <v>1</v>
      </c>
      <c r="P145" s="2">
        <v>2</v>
      </c>
      <c r="Q145" s="2">
        <v>5</v>
      </c>
      <c r="R145">
        <v>4</v>
      </c>
      <c r="S145">
        <v>1</v>
      </c>
      <c r="T145">
        <v>1</v>
      </c>
      <c r="U145" s="1" t="d">
        <v>2020-02-20T11:03:24.00000012014061150</v>
      </c>
      <c r="V145" s="1" t="d">
        <v>2020-02-20T11:42:43.9999998500570625</v>
      </c>
      <c r="W145" t="s">
        <v>450</v>
      </c>
      <c r="X145">
        <v>2</v>
      </c>
      <c r="Y145">
        <v>1</v>
      </c>
      <c r="Z145">
        <v>1</v>
      </c>
      <c r="AA145">
        <v>1</v>
      </c>
      <c r="AB145">
        <v>1</v>
      </c>
      <c r="AC145">
        <v>4</v>
      </c>
      <c r="AD145">
        <v>1</v>
      </c>
      <c r="AE145">
        <v>1</v>
      </c>
      <c r="AF145" s="2">
        <v>1</v>
      </c>
      <c r="AG145" s="2">
        <v>2</v>
      </c>
      <c r="AH145" s="2">
        <v>5</v>
      </c>
      <c r="AI145">
        <v>5</v>
      </c>
      <c r="AJ145">
        <v>2</v>
      </c>
      <c r="AK145">
        <v>1</v>
      </c>
      <c r="AY145">
        <v>37.361326654999999</v>
      </c>
      <c r="AZ145">
        <v>53.136454966999999</v>
      </c>
      <c r="BA145">
        <v>45.362455347500003</v>
      </c>
      <c r="BB145">
        <v>55.721548632000001</v>
      </c>
    </row>
    <row r="146" spans="1:54" x14ac:dyDescent="0.25">
      <c r="A146">
        <v>145</v>
      </c>
      <c r="B146" t="s">
        <v>451</v>
      </c>
      <c r="C146" t="s">
        <v>111</v>
      </c>
      <c r="D146" s="1" t="d">
        <v>2019-09-28T06:48:47.99999986309558350</v>
      </c>
      <c r="E146" s="1" t="d">
        <v>2019-09-28T07:30:28.999999864026903825</v>
      </c>
      <c r="F146" t="s">
        <v>452</v>
      </c>
      <c r="G146">
        <v>2</v>
      </c>
      <c r="H146">
        <v>1</v>
      </c>
      <c r="I146">
        <v>1</v>
      </c>
      <c r="J146">
        <v>1</v>
      </c>
      <c r="K146">
        <v>1</v>
      </c>
      <c r="L146">
        <v>5</v>
      </c>
      <c r="M146">
        <v>5</v>
      </c>
      <c r="N146">
        <v>1</v>
      </c>
      <c r="O146" s="2">
        <v>1</v>
      </c>
      <c r="P146" s="2">
        <v>1</v>
      </c>
      <c r="Q146" s="2">
        <v>3</v>
      </c>
      <c r="R146">
        <v>3</v>
      </c>
      <c r="S146">
        <v>3</v>
      </c>
      <c r="T146">
        <v>2</v>
      </c>
      <c r="U146" s="1" t="d">
        <v>2020-03-05T06:50:40.99999987520277675</v>
      </c>
      <c r="V146" s="1" t="d">
        <v>2020-03-05T07:44:48.00000012852251400</v>
      </c>
      <c r="W146" t="s">
        <v>453</v>
      </c>
      <c r="X146">
        <v>2</v>
      </c>
      <c r="Y146">
        <v>1</v>
      </c>
      <c r="Z146">
        <v>1</v>
      </c>
      <c r="AA146">
        <v>1</v>
      </c>
      <c r="AB146">
        <v>1</v>
      </c>
      <c r="AC146">
        <v>5</v>
      </c>
      <c r="AD146">
        <v>5</v>
      </c>
      <c r="AE146">
        <v>1</v>
      </c>
      <c r="AF146" s="2">
        <v>1</v>
      </c>
      <c r="AG146" s="2">
        <v>2</v>
      </c>
      <c r="AH146" s="2">
        <v>5</v>
      </c>
      <c r="AI146">
        <v>3</v>
      </c>
      <c r="AJ146">
        <v>3</v>
      </c>
      <c r="AK146">
        <v>1</v>
      </c>
      <c r="AY146">
        <v>52.532697329500003</v>
      </c>
      <c r="AZ146">
        <v>34.451875522000002</v>
      </c>
      <c r="BA146">
        <v>49.798822127500003</v>
      </c>
      <c r="BB146">
        <v>39.038488702000002</v>
      </c>
    </row>
    <row r="147" spans="1:54" x14ac:dyDescent="0.25">
      <c r="A147">
        <v>146</v>
      </c>
      <c r="B147" t="s">
        <v>454</v>
      </c>
      <c r="C147" t="s">
        <v>111</v>
      </c>
      <c r="D147" s="1" t="d">
        <v>2019-11-01T15:50:23.00000006798654775</v>
      </c>
      <c r="E147" s="1" t="d">
        <v>2019-11-01T16:33:11.00000001490116300</v>
      </c>
      <c r="F147" t="s">
        <v>455</v>
      </c>
      <c r="G147">
        <v>3</v>
      </c>
      <c r="H147">
        <v>2</v>
      </c>
      <c r="I147">
        <v>2</v>
      </c>
      <c r="J147">
        <v>4</v>
      </c>
      <c r="K147">
        <v>3</v>
      </c>
      <c r="L147">
        <v>3</v>
      </c>
      <c r="M147">
        <v>3</v>
      </c>
      <c r="N147">
        <v>3</v>
      </c>
      <c r="O147" s="2">
        <v>3</v>
      </c>
      <c r="P147" s="2">
        <v>2</v>
      </c>
      <c r="Q147" s="2">
        <v>5</v>
      </c>
      <c r="R147">
        <v>3</v>
      </c>
      <c r="S147">
        <v>3</v>
      </c>
      <c r="T147">
        <v>2</v>
      </c>
      <c r="U147" s="1" t="d">
        <v>2020-03-14T09:03:20.99999983794986925</v>
      </c>
      <c r="V147" s="1" t="d">
        <v>2020-03-14T09:25:07.99999984446912975</v>
      </c>
      <c r="W147" t="s">
        <v>456</v>
      </c>
      <c r="X147">
        <v>2</v>
      </c>
      <c r="Y147">
        <v>2</v>
      </c>
      <c r="Z147">
        <v>2</v>
      </c>
      <c r="AA147">
        <v>4</v>
      </c>
      <c r="AB147">
        <v>4</v>
      </c>
      <c r="AC147">
        <v>4</v>
      </c>
      <c r="AD147">
        <v>4</v>
      </c>
      <c r="AE147">
        <v>3</v>
      </c>
      <c r="AF147" s="2">
        <v>2</v>
      </c>
      <c r="AG147" s="2">
        <v>1</v>
      </c>
      <c r="AH147" s="2">
        <v>5</v>
      </c>
      <c r="AI147">
        <v>4</v>
      </c>
      <c r="AJ147">
        <v>3</v>
      </c>
      <c r="AK147">
        <v>2</v>
      </c>
      <c r="AY147">
        <v>36.256844745000002</v>
      </c>
      <c r="AZ147">
        <v>46.048372569999998</v>
      </c>
      <c r="BA147">
        <v>38.472364667000001</v>
      </c>
      <c r="BB147">
        <v>47.743867342999998</v>
      </c>
    </row>
    <row r="148" spans="1:54" x14ac:dyDescent="0.25">
      <c r="A148">
        <v>147</v>
      </c>
      <c r="B148" t="s">
        <v>457</v>
      </c>
      <c r="C148" t="s">
        <v>111</v>
      </c>
      <c r="D148" s="1" t="d">
        <v>2019-10-12T13:41:08.00000024959445325</v>
      </c>
      <c r="E148" s="1" t="d">
        <v>2019-10-12T14:21:12.00000020675361300</v>
      </c>
      <c r="F148" t="s">
        <v>458</v>
      </c>
      <c r="G148">
        <v>2</v>
      </c>
      <c r="H148">
        <v>1</v>
      </c>
      <c r="I148">
        <v>1</v>
      </c>
      <c r="J148">
        <v>2</v>
      </c>
      <c r="K148">
        <v>3</v>
      </c>
      <c r="L148">
        <v>3</v>
      </c>
      <c r="M148">
        <v>3</v>
      </c>
      <c r="N148">
        <v>2</v>
      </c>
      <c r="O148" s="2">
        <v>2</v>
      </c>
      <c r="P148" s="2">
        <v>3</v>
      </c>
      <c r="Q148" s="2">
        <v>2</v>
      </c>
      <c r="R148">
        <v>5</v>
      </c>
      <c r="S148">
        <v>4</v>
      </c>
      <c r="T148">
        <v>3</v>
      </c>
      <c r="U148" s="1" t="d">
        <v>2020-03-09T16:21:38.00000020768493400</v>
      </c>
      <c r="V148" s="1" t="d">
        <v>2020-03-09T16:50:01.99999997857958325</v>
      </c>
      <c r="W148" t="s">
        <v>459</v>
      </c>
      <c r="X148">
        <v>3</v>
      </c>
      <c r="Y148">
        <v>1</v>
      </c>
      <c r="Z148">
        <v>1</v>
      </c>
      <c r="AA148">
        <v>2</v>
      </c>
      <c r="AB148">
        <v>2</v>
      </c>
      <c r="AC148">
        <v>3</v>
      </c>
      <c r="AD148">
        <v>3</v>
      </c>
      <c r="AE148">
        <v>3</v>
      </c>
      <c r="AF148" s="2">
        <v>2</v>
      </c>
      <c r="AG148" s="2">
        <v>3</v>
      </c>
      <c r="AH148" s="2">
        <v>3</v>
      </c>
      <c r="AI148">
        <v>4</v>
      </c>
      <c r="AJ148">
        <v>3</v>
      </c>
      <c r="AK148">
        <v>3</v>
      </c>
      <c r="AY148">
        <v>40.1370223455</v>
      </c>
      <c r="AZ148">
        <v>44.776870011</v>
      </c>
      <c r="BA148">
        <v>35.502703760499998</v>
      </c>
      <c r="BB148">
        <v>45.065988709499997</v>
      </c>
    </row>
    <row r="149" spans="1:54" x14ac:dyDescent="0.25">
      <c r="A149">
        <v>148</v>
      </c>
      <c r="B149" t="s">
        <v>460</v>
      </c>
      <c r="C149" t="s">
        <v>111</v>
      </c>
      <c r="D149" s="1" t="d">
        <v>2019-10-10T07:34:37.00000000186264200</v>
      </c>
      <c r="E149" s="1" t="d">
        <v>2019-10-10T08:55:13.0000001750886450</v>
      </c>
      <c r="F149" t="s">
        <v>461</v>
      </c>
      <c r="G149">
        <v>3</v>
      </c>
      <c r="H149">
        <v>1</v>
      </c>
      <c r="I149">
        <v>2</v>
      </c>
      <c r="J149">
        <v>4</v>
      </c>
      <c r="K149">
        <v>3</v>
      </c>
      <c r="L149">
        <v>4</v>
      </c>
      <c r="M149">
        <v>3</v>
      </c>
      <c r="N149">
        <v>2</v>
      </c>
      <c r="O149" s="2">
        <v>1</v>
      </c>
      <c r="P149" s="2">
        <v>1</v>
      </c>
      <c r="Q149" s="2">
        <v>6</v>
      </c>
      <c r="R149">
        <v>4</v>
      </c>
      <c r="S149">
        <v>3</v>
      </c>
      <c r="T149">
        <v>2</v>
      </c>
      <c r="U149" s="1" t="d">
        <v>2020-03-09T09:02:56.99999988544732125</v>
      </c>
      <c r="V149" s="1" t="d">
        <v>2020-03-09T09:54:42.0000002626329675</v>
      </c>
      <c r="W149" t="s">
        <v>462</v>
      </c>
      <c r="X149">
        <v>3</v>
      </c>
      <c r="Y149">
        <v>3</v>
      </c>
      <c r="Z149">
        <v>2</v>
      </c>
      <c r="AA149">
        <v>3</v>
      </c>
      <c r="AB149">
        <v>4</v>
      </c>
      <c r="AC149">
        <v>3</v>
      </c>
      <c r="AD149">
        <v>3</v>
      </c>
      <c r="AE149">
        <v>3</v>
      </c>
      <c r="AF149" s="2">
        <v>3</v>
      </c>
      <c r="AG149" s="2">
        <v>2</v>
      </c>
      <c r="AH149" s="2">
        <v>6</v>
      </c>
      <c r="AI149">
        <v>3</v>
      </c>
      <c r="AJ149">
        <v>3</v>
      </c>
      <c r="AK149">
        <v>3</v>
      </c>
      <c r="AY149">
        <v>35.743872064500003</v>
      </c>
      <c r="AZ149">
        <v>55.513664737500001</v>
      </c>
      <c r="BA149">
        <v>38.381389730000002</v>
      </c>
      <c r="BB149">
        <v>47.247986236000003</v>
      </c>
    </row>
    <row r="150" spans="1:54" x14ac:dyDescent="0.25">
      <c r="A150">
        <v>149</v>
      </c>
      <c r="B150" t="s">
        <v>463</v>
      </c>
      <c r="C150" t="s">
        <v>111</v>
      </c>
      <c r="D150" s="1" t="d">
        <v>2019-10-05T18:36:49.00000026449560950</v>
      </c>
      <c r="E150" s="1" t="d">
        <v>2019-10-17T17:42:21.00000013131648375</v>
      </c>
      <c r="F150" t="s">
        <v>464</v>
      </c>
      <c r="G150">
        <v>3</v>
      </c>
      <c r="H150">
        <v>2</v>
      </c>
      <c r="I150">
        <v>2</v>
      </c>
      <c r="J150">
        <v>2</v>
      </c>
      <c r="K150">
        <v>3</v>
      </c>
      <c r="L150">
        <v>2</v>
      </c>
      <c r="M150">
        <v>2</v>
      </c>
      <c r="N150">
        <v>4</v>
      </c>
      <c r="O150" s="2">
        <v>2</v>
      </c>
      <c r="P150" s="2">
        <v>3</v>
      </c>
      <c r="Q150" s="2">
        <v>2</v>
      </c>
      <c r="R150">
        <v>2</v>
      </c>
      <c r="S150">
        <v>3</v>
      </c>
      <c r="T150">
        <v>2</v>
      </c>
      <c r="U150" s="1" t="d">
        <v>2020-02-25T21:32:47.99999987706541875</v>
      </c>
      <c r="V150" s="1" t="d">
        <v>2020-02-25T22:22:21.00000020116567350</v>
      </c>
      <c r="W150" t="s">
        <v>465</v>
      </c>
      <c r="X150">
        <v>1</v>
      </c>
      <c r="Y150">
        <v>2</v>
      </c>
      <c r="Z150">
        <v>1</v>
      </c>
      <c r="AA150">
        <v>2</v>
      </c>
      <c r="AB150">
        <v>2</v>
      </c>
      <c r="AC150">
        <v>2</v>
      </c>
      <c r="AD150">
        <v>2</v>
      </c>
      <c r="AE150">
        <v>2</v>
      </c>
      <c r="AF150" s="2">
        <v>2</v>
      </c>
      <c r="AG150" s="2">
        <v>1</v>
      </c>
      <c r="AH150" s="2">
        <v>4</v>
      </c>
      <c r="AI150">
        <v>2</v>
      </c>
      <c r="AJ150">
        <v>1</v>
      </c>
      <c r="AK150">
        <v>2</v>
      </c>
      <c r="AY150">
        <v>35.884568930500002</v>
      </c>
      <c r="AZ150">
        <v>39.710500811000003</v>
      </c>
      <c r="BA150">
        <v>42.889718668500002</v>
      </c>
      <c r="BB150">
        <v>48.170087697</v>
      </c>
    </row>
    <row r="151" spans="1:54" x14ac:dyDescent="0.25">
      <c r="A151">
        <v>150</v>
      </c>
      <c r="B151" t="s">
        <v>466</v>
      </c>
      <c r="C151" t="s">
        <v>111</v>
      </c>
      <c r="D151" s="1" t="d">
        <v>2019-09-28T15:46:08.99999978486448450</v>
      </c>
      <c r="E151" s="1" t="d">
        <v>2019-09-28T16:23:47.99999979324638700</v>
      </c>
      <c r="F151" t="s">
        <v>467</v>
      </c>
      <c r="G151">
        <v>4</v>
      </c>
      <c r="H151">
        <v>1</v>
      </c>
      <c r="I151">
        <v>1</v>
      </c>
      <c r="J151">
        <v>1</v>
      </c>
      <c r="K151">
        <v>1</v>
      </c>
      <c r="L151">
        <v>3</v>
      </c>
      <c r="M151">
        <v>3</v>
      </c>
      <c r="N151">
        <v>1</v>
      </c>
      <c r="O151" s="2">
        <v>5</v>
      </c>
      <c r="P151" s="2">
        <v>2</v>
      </c>
      <c r="Q151" s="2">
        <v>3</v>
      </c>
      <c r="R151">
        <v>4</v>
      </c>
      <c r="S151">
        <v>3</v>
      </c>
      <c r="T151">
        <v>3</v>
      </c>
      <c r="U151" s="1" t="d">
        <v>2020-02-01T13:23:39.99999980907887100</v>
      </c>
      <c r="V151" s="1" t="d">
        <v>2020-02-01T13:51:02.00000017415732400</v>
      </c>
      <c r="W151" t="s">
        <v>468</v>
      </c>
      <c r="X151">
        <v>4</v>
      </c>
      <c r="Y151">
        <v>1</v>
      </c>
      <c r="Z151">
        <v>1</v>
      </c>
      <c r="AA151">
        <v>2</v>
      </c>
      <c r="AB151">
        <v>2</v>
      </c>
      <c r="AC151">
        <v>3</v>
      </c>
      <c r="AD151">
        <v>2</v>
      </c>
      <c r="AE151">
        <v>2</v>
      </c>
      <c r="AF151" s="2">
        <v>3</v>
      </c>
      <c r="AG151" s="2">
        <v>1</v>
      </c>
      <c r="AH151" s="2">
        <v>4</v>
      </c>
      <c r="AI151">
        <v>3</v>
      </c>
      <c r="AJ151">
        <v>4</v>
      </c>
      <c r="AK151">
        <v>2</v>
      </c>
      <c r="AY151">
        <v>47.035530199999997</v>
      </c>
      <c r="AZ151">
        <v>37.448707868500001</v>
      </c>
      <c r="BA151">
        <v>36.953549439500001</v>
      </c>
      <c r="BB151">
        <v>47.3635688285</v>
      </c>
    </row>
    <row r="152" spans="1:54" x14ac:dyDescent="0.25">
      <c r="A152">
        <v>151</v>
      </c>
      <c r="B152" t="s">
        <v>469</v>
      </c>
      <c r="C152" t="s">
        <v>111</v>
      </c>
      <c r="D152" s="1" t="d">
        <v>2019-10-04T16:40:17.99999987706541875</v>
      </c>
      <c r="E152" s="1" t="d">
        <v>2019-10-04T17:47:47.99999987706541875</v>
      </c>
      <c r="F152" t="s">
        <v>470</v>
      </c>
      <c r="G152">
        <v>2</v>
      </c>
      <c r="H152">
        <v>1</v>
      </c>
      <c r="I152">
        <v>1</v>
      </c>
      <c r="J152">
        <v>1</v>
      </c>
      <c r="K152">
        <v>1</v>
      </c>
      <c r="L152">
        <v>4</v>
      </c>
      <c r="M152">
        <v>3</v>
      </c>
      <c r="N152">
        <v>1</v>
      </c>
      <c r="O152" s="2">
        <v>2</v>
      </c>
      <c r="P152" s="2">
        <v>2</v>
      </c>
      <c r="Q152" s="2">
        <v>5</v>
      </c>
      <c r="R152">
        <v>5</v>
      </c>
      <c r="S152">
        <v>3</v>
      </c>
      <c r="T152">
        <v>3</v>
      </c>
      <c r="U152" s="1" t="d">
        <v>2020-02-05T18:36:06.0000002710148700</v>
      </c>
      <c r="V152" s="1" t="d">
        <v>2020-02-05T19:13:55.00000010244548550</v>
      </c>
      <c r="W152" t="s">
        <v>471</v>
      </c>
      <c r="X152">
        <v>2</v>
      </c>
      <c r="Y152">
        <v>1</v>
      </c>
      <c r="Z152">
        <v>1</v>
      </c>
      <c r="AA152">
        <v>1</v>
      </c>
      <c r="AB152">
        <v>1</v>
      </c>
      <c r="AC152">
        <v>3</v>
      </c>
      <c r="AD152">
        <v>3</v>
      </c>
      <c r="AE152">
        <v>2</v>
      </c>
      <c r="AF152" s="2">
        <v>2</v>
      </c>
      <c r="AG152" s="2">
        <v>3</v>
      </c>
      <c r="AH152" s="2">
        <v>3</v>
      </c>
      <c r="AI152">
        <v>4</v>
      </c>
      <c r="AJ152">
        <v>3</v>
      </c>
      <c r="AK152">
        <v>3</v>
      </c>
      <c r="AY152">
        <v>47.8241396775</v>
      </c>
      <c r="AZ152">
        <v>49.489760830999998</v>
      </c>
      <c r="BA152">
        <v>44.454685128000001</v>
      </c>
      <c r="BB152">
        <v>43.188163109500003</v>
      </c>
    </row>
    <row r="153" spans="1:54" x14ac:dyDescent="0.25">
      <c r="A153">
        <v>152</v>
      </c>
      <c r="B153" t="s">
        <v>472</v>
      </c>
      <c r="C153" t="s">
        <v>111</v>
      </c>
      <c r="D153" s="1" t="d">
        <v>2019-10-12T07:03:21.99999986216425575</v>
      </c>
      <c r="E153" s="1" t="d">
        <v>2019-10-12T07:57:03.9999999292194825</v>
      </c>
      <c r="F153" t="s">
        <v>473</v>
      </c>
      <c r="G153">
        <v>1</v>
      </c>
      <c r="H153">
        <v>3</v>
      </c>
      <c r="I153">
        <v>3</v>
      </c>
      <c r="J153">
        <v>3</v>
      </c>
      <c r="K153">
        <v>3</v>
      </c>
      <c r="L153">
        <v>2</v>
      </c>
      <c r="M153">
        <v>2</v>
      </c>
      <c r="N153">
        <v>5</v>
      </c>
      <c r="O153" s="2">
        <v>4</v>
      </c>
      <c r="P153" s="2">
        <v>3</v>
      </c>
      <c r="Q153" s="2">
        <v>3</v>
      </c>
      <c r="R153">
        <v>4</v>
      </c>
      <c r="S153">
        <v>1</v>
      </c>
      <c r="T153">
        <v>4</v>
      </c>
      <c r="U153" s="1" t="d">
        <v>2020-01-30T20:46:21.00000028498470525</v>
      </c>
      <c r="V153" s="1" t="d">
        <v>2020-01-30T21:20:38.00000022165477600</v>
      </c>
      <c r="W153" t="s">
        <v>474</v>
      </c>
      <c r="X153">
        <v>2</v>
      </c>
      <c r="Y153">
        <v>2</v>
      </c>
      <c r="Z153">
        <v>3</v>
      </c>
      <c r="AA153">
        <v>3</v>
      </c>
      <c r="AB153">
        <v>3</v>
      </c>
      <c r="AC153">
        <v>3</v>
      </c>
      <c r="AD153">
        <v>2</v>
      </c>
      <c r="AE153">
        <v>5</v>
      </c>
      <c r="AF153" s="2">
        <v>4</v>
      </c>
      <c r="AG153" s="2">
        <v>3</v>
      </c>
      <c r="AH153" s="2">
        <v>2</v>
      </c>
      <c r="AI153">
        <v>5</v>
      </c>
      <c r="AJ153">
        <v>2</v>
      </c>
      <c r="AK153">
        <v>3</v>
      </c>
      <c r="AY153">
        <v>41.727563279500004</v>
      </c>
      <c r="AZ153">
        <v>41.598605974999998</v>
      </c>
      <c r="BA153">
        <v>39.923023505499998</v>
      </c>
      <c r="BB153">
        <v>39.9468828965</v>
      </c>
    </row>
    <row r="154" spans="1:54" x14ac:dyDescent="0.25">
      <c r="A154">
        <v>153</v>
      </c>
      <c r="B154" t="s">
        <v>475</v>
      </c>
      <c r="C154" t="s">
        <v>111</v>
      </c>
      <c r="D154" s="1" t="d">
        <v>2019-10-11T07:12:13.99999975226819550</v>
      </c>
      <c r="E154" s="1" t="d">
        <v>2019-10-19T00:32:44.00000019930303150</v>
      </c>
      <c r="F154" t="s">
        <v>476</v>
      </c>
      <c r="G154">
        <v>2</v>
      </c>
      <c r="H154">
        <v>2</v>
      </c>
      <c r="I154">
        <v>2</v>
      </c>
      <c r="J154">
        <v>3</v>
      </c>
      <c r="K154">
        <v>2</v>
      </c>
      <c r="L154">
        <v>3</v>
      </c>
      <c r="M154">
        <v>2</v>
      </c>
      <c r="N154">
        <v>4</v>
      </c>
      <c r="O154" s="2">
        <v>3</v>
      </c>
      <c r="P154" s="2">
        <v>2</v>
      </c>
      <c r="Q154" s="2">
        <v>3</v>
      </c>
      <c r="R154">
        <v>4</v>
      </c>
      <c r="S154">
        <v>3</v>
      </c>
      <c r="T154">
        <v>4</v>
      </c>
      <c r="AY154">
        <v>39.953095005000002</v>
      </c>
      <c r="AZ154">
        <v>44.150104528</v>
      </c>
    </row>
    <row r="155" spans="1:54" x14ac:dyDescent="0.25">
      <c r="A155">
        <v>154</v>
      </c>
      <c r="B155" t="s">
        <v>477</v>
      </c>
      <c r="C155" t="s">
        <v>111</v>
      </c>
      <c r="D155" s="1" t="d">
        <v>2019-10-17T15:22:01.00000013597309550</v>
      </c>
      <c r="E155" s="1" t="d">
        <v>2019-10-17T15:48:50.99999993573874300</v>
      </c>
      <c r="F155" t="s">
        <v>478</v>
      </c>
      <c r="G155">
        <v>2</v>
      </c>
      <c r="H155">
        <v>3</v>
      </c>
      <c r="I155">
        <v>1</v>
      </c>
      <c r="J155">
        <v>5</v>
      </c>
      <c r="K155">
        <v>5</v>
      </c>
      <c r="L155">
        <v>5</v>
      </c>
      <c r="M155">
        <v>5</v>
      </c>
      <c r="N155">
        <v>2</v>
      </c>
      <c r="O155" s="2">
        <v>1</v>
      </c>
      <c r="P155" s="2">
        <v>1</v>
      </c>
      <c r="Q155" s="2">
        <v>6</v>
      </c>
      <c r="R155">
        <v>5</v>
      </c>
      <c r="S155">
        <v>3</v>
      </c>
      <c r="T155">
        <v>1</v>
      </c>
      <c r="U155" s="1" t="d">
        <v>2020-03-07T10:54:26.99999968986958050</v>
      </c>
      <c r="V155" s="1" t="d">
        <v>2020-03-07T11:11:02.00000031385571025</v>
      </c>
      <c r="W155" t="s">
        <v>479</v>
      </c>
      <c r="X155">
        <v>2</v>
      </c>
      <c r="Y155">
        <v>1</v>
      </c>
      <c r="Z155">
        <v>1</v>
      </c>
      <c r="AA155">
        <v>5</v>
      </c>
      <c r="AB155">
        <v>5</v>
      </c>
      <c r="AC155">
        <v>5</v>
      </c>
      <c r="AD155">
        <v>5</v>
      </c>
      <c r="AE155">
        <v>1</v>
      </c>
      <c r="AF155" s="2">
        <v>1</v>
      </c>
      <c r="AG155" s="2">
        <v>1</v>
      </c>
      <c r="AH155" s="2">
        <v>2</v>
      </c>
      <c r="AI155">
        <v>3</v>
      </c>
      <c r="AJ155">
        <v>3</v>
      </c>
      <c r="AK155">
        <v>3</v>
      </c>
      <c r="AY155">
        <v>38.133268859499999</v>
      </c>
      <c r="AZ155">
        <v>50.88527328</v>
      </c>
      <c r="BA155">
        <v>39.014748329500001</v>
      </c>
      <c r="BB155">
        <v>36.446870406000002</v>
      </c>
    </row>
    <row r="156" spans="1:54" x14ac:dyDescent="0.25">
      <c r="A156">
        <v>155</v>
      </c>
      <c r="B156" t="s">
        <v>480</v>
      </c>
      <c r="C156" t="s">
        <v>111</v>
      </c>
      <c r="U156" s="1" t="d">
        <v>2020-04-01T18:50:45.99999978672713325</v>
      </c>
      <c r="V156" s="1" t="d">
        <v>2020-04-01T19:21:09.99999994877725725</v>
      </c>
      <c r="W156" t="s">
        <v>481</v>
      </c>
      <c r="X156">
        <v>2</v>
      </c>
      <c r="Y156">
        <v>2</v>
      </c>
      <c r="Z156">
        <v>2</v>
      </c>
      <c r="AA156">
        <v>4</v>
      </c>
      <c r="AB156">
        <v>4</v>
      </c>
      <c r="AC156">
        <v>4</v>
      </c>
      <c r="AD156">
        <v>4</v>
      </c>
      <c r="AE156">
        <v>4</v>
      </c>
      <c r="AF156" s="2">
        <v>3</v>
      </c>
      <c r="AG156" s="2">
        <v>2</v>
      </c>
      <c r="AH156" s="2">
        <v>5</v>
      </c>
      <c r="AI156">
        <v>4</v>
      </c>
      <c r="AJ156">
        <v>3</v>
      </c>
      <c r="AK156">
        <v>4</v>
      </c>
      <c r="BA156">
        <v>35.371849959999999</v>
      </c>
      <c r="BB156">
        <v>44.776439009999997</v>
      </c>
    </row>
    <row r="157" spans="1:54" x14ac:dyDescent="0.25">
      <c r="A157">
        <v>156</v>
      </c>
      <c r="B157" t="s">
        <v>482</v>
      </c>
      <c r="C157" t="s">
        <v>111</v>
      </c>
      <c r="D157" s="1" t="d">
        <v>2019-11-07T11:46:37.99999985843897175</v>
      </c>
      <c r="E157" s="1" t="d">
        <v>2019-11-07T12:50:10.99999977741390300</v>
      </c>
      <c r="F157" t="s">
        <v>483</v>
      </c>
      <c r="G157">
        <v>1</v>
      </c>
      <c r="H157">
        <v>1</v>
      </c>
      <c r="I157">
        <v>1</v>
      </c>
      <c r="J157">
        <v>4</v>
      </c>
      <c r="K157">
        <v>4</v>
      </c>
      <c r="L157">
        <v>4</v>
      </c>
      <c r="M157">
        <v>4</v>
      </c>
      <c r="N157">
        <v>2</v>
      </c>
      <c r="O157" s="2">
        <v>1</v>
      </c>
      <c r="P157" s="2">
        <v>1</v>
      </c>
      <c r="Q157" s="2">
        <v>4</v>
      </c>
      <c r="R157">
        <v>5</v>
      </c>
      <c r="S157">
        <v>3</v>
      </c>
      <c r="T157">
        <v>3</v>
      </c>
      <c r="U157" s="1" t="d">
        <v>2020-03-14T06:18:05.00000028870999600</v>
      </c>
      <c r="V157" s="1" t="d">
        <v>2020-03-14T07:02:27.00000020675361300</v>
      </c>
      <c r="W157" t="s">
        <v>484</v>
      </c>
      <c r="X157">
        <v>2</v>
      </c>
      <c r="Y157">
        <v>1</v>
      </c>
      <c r="Z157">
        <v>2</v>
      </c>
      <c r="AA157">
        <v>3</v>
      </c>
      <c r="AB157">
        <v>2</v>
      </c>
      <c r="AC157">
        <v>4</v>
      </c>
      <c r="AD157">
        <v>4</v>
      </c>
      <c r="AE157">
        <v>2</v>
      </c>
      <c r="AF157" s="2">
        <v>1</v>
      </c>
      <c r="AG157" s="2">
        <v>1</v>
      </c>
      <c r="AH157" s="2">
        <v>5</v>
      </c>
      <c r="AI157">
        <v>5</v>
      </c>
      <c r="AJ157">
        <v>3</v>
      </c>
      <c r="AK157">
        <v>2</v>
      </c>
      <c r="AY157">
        <v>36.334768291000003</v>
      </c>
      <c r="AZ157">
        <v>52.389561600500002</v>
      </c>
      <c r="BA157">
        <v>43.335694139499999</v>
      </c>
      <c r="BB157">
        <v>51.950072491500002</v>
      </c>
    </row>
    <row r="158" spans="1:54" x14ac:dyDescent="0.25">
      <c r="A158">
        <v>157</v>
      </c>
      <c r="B158" t="s">
        <v>485</v>
      </c>
      <c r="C158" t="s">
        <v>111</v>
      </c>
      <c r="D158" s="1" t="d">
        <v>2019-10-30T12:11:24.000000217929482550</v>
      </c>
      <c r="E158" s="1" t="d">
        <v>2019-10-30T12:36:46.000000191852450</v>
      </c>
      <c r="F158" t="s">
        <v>486</v>
      </c>
      <c r="G158">
        <v>3</v>
      </c>
      <c r="H158">
        <v>1</v>
      </c>
      <c r="I158">
        <v>1</v>
      </c>
      <c r="J158">
        <v>2</v>
      </c>
      <c r="K158">
        <v>2</v>
      </c>
      <c r="L158">
        <v>4</v>
      </c>
      <c r="M158">
        <v>4</v>
      </c>
      <c r="N158">
        <v>3</v>
      </c>
      <c r="O158" s="2">
        <v>3</v>
      </c>
      <c r="P158" s="2">
        <v>4</v>
      </c>
      <c r="Q158" s="2">
        <v>3</v>
      </c>
      <c r="R158">
        <v>4</v>
      </c>
      <c r="S158">
        <v>3</v>
      </c>
      <c r="T158">
        <v>2</v>
      </c>
      <c r="U158" s="1" t="d">
        <v>2020-03-13T11:19:08.99999974295497200</v>
      </c>
      <c r="V158" s="1" t="d">
        <v>2020-03-13T11:32:46.99999985285103225</v>
      </c>
      <c r="W158" t="s">
        <v>487</v>
      </c>
      <c r="X158">
        <v>4</v>
      </c>
      <c r="Y158">
        <v>1</v>
      </c>
      <c r="Z158">
        <v>1</v>
      </c>
      <c r="AA158">
        <v>1</v>
      </c>
      <c r="AB158">
        <v>1</v>
      </c>
      <c r="AC158">
        <v>3</v>
      </c>
      <c r="AD158">
        <v>3</v>
      </c>
      <c r="AE158">
        <v>2</v>
      </c>
      <c r="AF158" s="2">
        <v>2</v>
      </c>
      <c r="AG158" s="2">
        <v>2</v>
      </c>
      <c r="AH158" s="2">
        <v>3</v>
      </c>
      <c r="AI158">
        <v>4</v>
      </c>
      <c r="AJ158">
        <v>3</v>
      </c>
      <c r="AK158">
        <v>3</v>
      </c>
      <c r="AY158">
        <v>37.998241898499998</v>
      </c>
      <c r="AZ158">
        <v>36.300314774</v>
      </c>
      <c r="BA158">
        <v>41.141445615000002</v>
      </c>
      <c r="BB158">
        <v>44.622502011500004</v>
      </c>
    </row>
    <row r="159" spans="1:54" x14ac:dyDescent="0.25">
      <c r="A159">
        <v>158</v>
      </c>
      <c r="B159" t="s">
        <v>488</v>
      </c>
      <c r="C159" t="s">
        <v>111</v>
      </c>
      <c r="D159" s="1" t="d">
        <v>2019-10-31T09:21:43.99999993387609425</v>
      </c>
      <c r="E159" s="1" t="d">
        <v>2019-10-31T12:05:48.99999985937029275</v>
      </c>
      <c r="F159" t="s">
        <v>489</v>
      </c>
      <c r="G159">
        <v>4</v>
      </c>
      <c r="H159">
        <v>2</v>
      </c>
      <c r="I159">
        <v>1</v>
      </c>
      <c r="J159">
        <v>3</v>
      </c>
      <c r="K159">
        <v>3</v>
      </c>
      <c r="L159">
        <v>3</v>
      </c>
      <c r="M159">
        <v>4</v>
      </c>
      <c r="N159">
        <v>2</v>
      </c>
      <c r="O159" s="2">
        <v>2</v>
      </c>
      <c r="P159" s="2">
        <v>2</v>
      </c>
      <c r="Q159" s="2">
        <v>2</v>
      </c>
      <c r="R159">
        <v>2</v>
      </c>
      <c r="S159">
        <v>3</v>
      </c>
      <c r="T159">
        <v>3</v>
      </c>
      <c r="U159" s="1" t="d">
        <v>2020-03-19T08:20:24.99999990686774475</v>
      </c>
      <c r="V159" s="1" t="d">
        <v>2020-03-19T08:46:26.99999980162828950</v>
      </c>
      <c r="W159" t="s">
        <v>490</v>
      </c>
      <c r="X159">
        <v>3</v>
      </c>
      <c r="Y159">
        <v>1</v>
      </c>
      <c r="Z159">
        <v>2</v>
      </c>
      <c r="AA159">
        <v>3</v>
      </c>
      <c r="AB159">
        <v>3</v>
      </c>
      <c r="AC159">
        <v>3</v>
      </c>
      <c r="AD159">
        <v>4</v>
      </c>
      <c r="AE159">
        <v>3</v>
      </c>
      <c r="AF159" s="2">
        <v>3</v>
      </c>
      <c r="AG159" s="2">
        <v>2</v>
      </c>
      <c r="AH159" s="2">
        <v>3</v>
      </c>
      <c r="AI159">
        <v>4</v>
      </c>
      <c r="AJ159">
        <v>2</v>
      </c>
      <c r="AK159">
        <v>2</v>
      </c>
      <c r="AY159">
        <v>38.745535384999997</v>
      </c>
      <c r="AZ159">
        <v>34.900797288</v>
      </c>
      <c r="BA159">
        <v>37.852551307500001</v>
      </c>
      <c r="BB159">
        <v>41.911338682999997</v>
      </c>
    </row>
    <row r="160" spans="1:54" x14ac:dyDescent="0.25">
      <c r="A160">
        <v>159</v>
      </c>
      <c r="B160" t="s">
        <v>491</v>
      </c>
      <c r="C160" t="s">
        <v>111</v>
      </c>
      <c r="D160" s="1" t="d">
        <v>2019-12-05T07:25:53.99999970104545275</v>
      </c>
      <c r="E160" s="1" t="d">
        <v>2019-12-05T08:08:58.9999998500570625</v>
      </c>
      <c r="F160" t="s">
        <v>492</v>
      </c>
      <c r="G160">
        <v>2</v>
      </c>
      <c r="H160">
        <v>2</v>
      </c>
      <c r="I160">
        <v>3</v>
      </c>
      <c r="J160">
        <v>4</v>
      </c>
      <c r="K160">
        <v>4</v>
      </c>
      <c r="L160">
        <v>4</v>
      </c>
      <c r="M160">
        <v>2</v>
      </c>
      <c r="N160">
        <v>3</v>
      </c>
      <c r="O160" s="2">
        <v>2</v>
      </c>
      <c r="P160" s="2">
        <v>2</v>
      </c>
      <c r="Q160" s="2">
        <v>5</v>
      </c>
      <c r="R160">
        <v>4</v>
      </c>
      <c r="S160">
        <v>4</v>
      </c>
      <c r="T160">
        <v>3</v>
      </c>
      <c r="U160" s="1" t="d">
        <v>2020-04-02T10:41:59.000000227242708075</v>
      </c>
      <c r="V160" s="1" t="d">
        <v>2020-04-02T11:20:53.00000016577542150</v>
      </c>
      <c r="W160" t="s">
        <v>493</v>
      </c>
      <c r="X160">
        <v>2</v>
      </c>
      <c r="Y160">
        <v>2</v>
      </c>
      <c r="Z160">
        <v>3</v>
      </c>
      <c r="AA160">
        <v>4</v>
      </c>
      <c r="AB160">
        <v>3</v>
      </c>
      <c r="AC160">
        <v>4</v>
      </c>
      <c r="AD160">
        <v>3</v>
      </c>
      <c r="AE160">
        <v>4</v>
      </c>
      <c r="AF160" s="2">
        <v>3</v>
      </c>
      <c r="AG160" s="2">
        <v>2</v>
      </c>
      <c r="AH160" s="2">
        <v>3</v>
      </c>
      <c r="AI160">
        <v>4</v>
      </c>
      <c r="AJ160">
        <v>3</v>
      </c>
      <c r="AK160">
        <v>2</v>
      </c>
      <c r="AY160">
        <v>40.001345120000003</v>
      </c>
      <c r="AZ160">
        <v>48.820085536000001</v>
      </c>
      <c r="BA160">
        <v>42.295282604999997</v>
      </c>
      <c r="BB160">
        <v>38.627929400500001</v>
      </c>
    </row>
    <row r="161" spans="1:54" x14ac:dyDescent="0.25">
      <c r="A161">
        <v>160</v>
      </c>
      <c r="B161" t="s">
        <v>494</v>
      </c>
      <c r="C161" t="s">
        <v>111</v>
      </c>
      <c r="D161" s="1" t="d">
        <v>2019-12-04T17:53:47.99999979324638700</v>
      </c>
      <c r="E161" s="1" t="d">
        <v>2019-12-04T18:25:23.00000020768493400</v>
      </c>
      <c r="F161" t="s">
        <v>495</v>
      </c>
      <c r="G161">
        <v>3</v>
      </c>
      <c r="H161">
        <v>1</v>
      </c>
      <c r="I161">
        <v>1</v>
      </c>
      <c r="J161">
        <v>2</v>
      </c>
      <c r="K161">
        <v>2</v>
      </c>
      <c r="L161">
        <v>5</v>
      </c>
      <c r="M161">
        <v>3</v>
      </c>
      <c r="N161">
        <v>4</v>
      </c>
      <c r="O161" s="2">
        <v>3</v>
      </c>
      <c r="P161" s="2">
        <v>1</v>
      </c>
      <c r="Q161" s="2">
        <v>5</v>
      </c>
      <c r="R161">
        <v>3</v>
      </c>
      <c r="S161">
        <v>2</v>
      </c>
      <c r="T161">
        <v>4</v>
      </c>
      <c r="AY161">
        <v>34.830502021999997</v>
      </c>
      <c r="AZ161">
        <v>43.190703437000003</v>
      </c>
    </row>
    <row r="162" spans="1:54" x14ac:dyDescent="0.25">
      <c r="A162">
        <v>161</v>
      </c>
      <c r="B162" t="s">
        <v>496</v>
      </c>
      <c r="C162" t="s">
        <v>111</v>
      </c>
      <c r="D162" s="1" t="d">
        <v>2019-11-07T15:00:36.99999984819442050</v>
      </c>
      <c r="E162" s="1" t="d">
        <v>2019-11-07T15:40:08.00000026356428850</v>
      </c>
      <c r="F162" t="s">
        <v>497</v>
      </c>
      <c r="G162">
        <v>4</v>
      </c>
      <c r="H162">
        <v>2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2</v>
      </c>
      <c r="O162" s="2">
        <v>3</v>
      </c>
      <c r="P162" s="2">
        <v>3</v>
      </c>
      <c r="Q162" s="2">
        <v>3</v>
      </c>
      <c r="R162">
        <v>1</v>
      </c>
      <c r="S162">
        <v>2</v>
      </c>
      <c r="T162">
        <v>4</v>
      </c>
      <c r="U162" s="1" t="d">
        <v>2020-03-12T11:32:54.00000023189932050</v>
      </c>
      <c r="V162" s="1" t="d">
        <v>2020-03-12T12:31:02.00000024400651375</v>
      </c>
      <c r="W162" t="s">
        <v>498</v>
      </c>
      <c r="X162">
        <v>3</v>
      </c>
      <c r="Y162">
        <v>1</v>
      </c>
      <c r="Z162">
        <v>1</v>
      </c>
      <c r="AA162">
        <v>3</v>
      </c>
      <c r="AB162">
        <v>1</v>
      </c>
      <c r="AC162">
        <v>1</v>
      </c>
      <c r="AD162">
        <v>1</v>
      </c>
      <c r="AE162">
        <v>2</v>
      </c>
      <c r="AF162" s="2">
        <v>2</v>
      </c>
      <c r="AG162" s="2">
        <v>4</v>
      </c>
      <c r="AH162" s="2">
        <v>2</v>
      </c>
      <c r="AI162">
        <v>1</v>
      </c>
      <c r="AJ162">
        <v>2</v>
      </c>
      <c r="AK162">
        <v>4</v>
      </c>
      <c r="AY162">
        <v>39.8044182605</v>
      </c>
      <c r="AZ162">
        <v>41.505771856000003</v>
      </c>
      <c r="BA162">
        <v>34.542266886</v>
      </c>
      <c r="BB162">
        <v>42.328530569000002</v>
      </c>
    </row>
    <row r="163" spans="1:54" x14ac:dyDescent="0.25">
      <c r="A163">
        <v>162</v>
      </c>
      <c r="B163" t="s">
        <v>499</v>
      </c>
      <c r="C163" t="s">
        <v>111</v>
      </c>
      <c r="D163" s="1" t="d">
        <v>2019-11-27T14:53:57.00000001117587225</v>
      </c>
      <c r="E163" s="1" t="d">
        <v>2019-11-27T15:30:13.99999971035867625</v>
      </c>
      <c r="F163" t="s">
        <v>500</v>
      </c>
      <c r="G163">
        <v>3</v>
      </c>
      <c r="H163">
        <v>2</v>
      </c>
      <c r="I163">
        <v>2</v>
      </c>
      <c r="J163">
        <v>3</v>
      </c>
      <c r="K163">
        <v>3</v>
      </c>
      <c r="L163">
        <v>3</v>
      </c>
      <c r="M163">
        <v>3</v>
      </c>
      <c r="N163">
        <v>4</v>
      </c>
      <c r="O163" s="2">
        <v>2</v>
      </c>
      <c r="P163" s="2">
        <v>3</v>
      </c>
      <c r="Q163" s="2">
        <v>2</v>
      </c>
      <c r="R163">
        <v>3</v>
      </c>
      <c r="S163">
        <v>3</v>
      </c>
      <c r="T163">
        <v>3</v>
      </c>
      <c r="U163" s="1" t="d">
        <v>2020-04-07T17:54:30.00000018160789875</v>
      </c>
      <c r="V163" s="1" t="d">
        <v>2020-04-07T18:26:25.00000024214387175</v>
      </c>
      <c r="W163" t="s">
        <v>501</v>
      </c>
      <c r="X163">
        <v>3</v>
      </c>
      <c r="Y163">
        <v>3</v>
      </c>
      <c r="Z163">
        <v>2</v>
      </c>
      <c r="AA163">
        <v>4</v>
      </c>
      <c r="AB163">
        <v>4</v>
      </c>
      <c r="AC163">
        <v>4</v>
      </c>
      <c r="AD163">
        <v>1</v>
      </c>
      <c r="AE163">
        <v>4</v>
      </c>
      <c r="AF163" s="2">
        <v>4</v>
      </c>
      <c r="AG163" s="2">
        <v>4</v>
      </c>
      <c r="AH163" s="2">
        <v>2</v>
      </c>
      <c r="AI163">
        <v>4</v>
      </c>
      <c r="AJ163">
        <v>4</v>
      </c>
      <c r="AK163">
        <v>3</v>
      </c>
      <c r="AY163">
        <v>36.454045198000003</v>
      </c>
      <c r="AZ163">
        <v>37.865212901</v>
      </c>
      <c r="BA163">
        <v>37.099793393500001</v>
      </c>
      <c r="BB163">
        <v>35.161842444500003</v>
      </c>
    </row>
    <row r="164" spans="1:54" x14ac:dyDescent="0.25">
      <c r="A164">
        <v>163</v>
      </c>
      <c r="B164" t="s">
        <v>502</v>
      </c>
      <c r="C164" t="s">
        <v>111</v>
      </c>
      <c r="D164" s="1" t="d">
        <v>2019-12-15T19:49:44.99999977648258200</v>
      </c>
      <c r="E164" s="1" t="d">
        <v>2019-12-15T20:57:23.99999999441206725</v>
      </c>
      <c r="F164" t="s">
        <v>503</v>
      </c>
      <c r="G164">
        <v>1</v>
      </c>
      <c r="H164">
        <v>3</v>
      </c>
      <c r="I164">
        <v>3</v>
      </c>
      <c r="J164">
        <v>1</v>
      </c>
      <c r="K164">
        <v>1</v>
      </c>
      <c r="L164">
        <v>2</v>
      </c>
      <c r="M164">
        <v>2</v>
      </c>
      <c r="N164">
        <v>4</v>
      </c>
      <c r="O164" s="2">
        <v>2</v>
      </c>
      <c r="P164" s="2">
        <v>1</v>
      </c>
      <c r="Q164" s="2">
        <v>5</v>
      </c>
      <c r="R164">
        <v>3</v>
      </c>
      <c r="S164">
        <v>3</v>
      </c>
      <c r="T164">
        <v>4</v>
      </c>
      <c r="AY164">
        <v>49.622080531000002</v>
      </c>
      <c r="AZ164">
        <v>48.912280430499997</v>
      </c>
    </row>
    <row r="165" spans="1:54" x14ac:dyDescent="0.25">
      <c r="A165">
        <v>164</v>
      </c>
      <c r="B165" t="s">
        <v>504</v>
      </c>
      <c r="C165" t="s">
        <v>111</v>
      </c>
      <c r="D165" s="1" t="d">
        <v>2019-12-18T10:45:05.99999993573874300</v>
      </c>
      <c r="E165" s="1" t="d">
        <v>2019-12-18T11:23:35.99999992176890100</v>
      </c>
      <c r="F165" t="s">
        <v>505</v>
      </c>
      <c r="G165">
        <v>2</v>
      </c>
      <c r="H165">
        <v>3</v>
      </c>
      <c r="I165">
        <v>3</v>
      </c>
      <c r="J165">
        <v>4</v>
      </c>
      <c r="K165">
        <v>5</v>
      </c>
      <c r="L165">
        <v>5</v>
      </c>
      <c r="M165">
        <v>2</v>
      </c>
      <c r="N165">
        <v>5</v>
      </c>
      <c r="O165" s="2">
        <v>2</v>
      </c>
      <c r="P165" s="2">
        <v>1</v>
      </c>
      <c r="Q165" s="2">
        <v>4</v>
      </c>
      <c r="R165">
        <v>5</v>
      </c>
      <c r="S165">
        <v>1</v>
      </c>
      <c r="T165">
        <v>1</v>
      </c>
      <c r="U165" s="1" t="d">
        <v>2020-04-20T19:34:19.9999997997656475</v>
      </c>
      <c r="V165" s="1" t="d">
        <v>2020-04-20T20:13:49.99999998137354625</v>
      </c>
      <c r="W165" t="s">
        <v>506</v>
      </c>
      <c r="X165">
        <v>3</v>
      </c>
      <c r="Y165">
        <v>3</v>
      </c>
      <c r="Z165">
        <v>2</v>
      </c>
      <c r="AA165">
        <v>4</v>
      </c>
      <c r="AB165">
        <v>5</v>
      </c>
      <c r="AC165">
        <v>4</v>
      </c>
      <c r="AD165">
        <v>2</v>
      </c>
      <c r="AE165">
        <v>5</v>
      </c>
      <c r="AF165" s="2">
        <v>2</v>
      </c>
      <c r="AG165" s="2">
        <v>3</v>
      </c>
      <c r="AH165" s="2">
        <v>4</v>
      </c>
      <c r="AI165">
        <v>4</v>
      </c>
      <c r="AJ165">
        <v>2</v>
      </c>
      <c r="AK165">
        <v>2</v>
      </c>
      <c r="AY165">
        <v>37.923772559500001</v>
      </c>
      <c r="AZ165">
        <v>46.828175584500002</v>
      </c>
      <c r="BA165">
        <v>29.471699430499999</v>
      </c>
      <c r="BB165">
        <v>46.105661892999997</v>
      </c>
    </row>
    <row r="166" spans="1:54" x14ac:dyDescent="0.25">
      <c r="A166">
        <v>165</v>
      </c>
      <c r="B166" t="s">
        <v>507</v>
      </c>
      <c r="C166" t="s">
        <v>111</v>
      </c>
      <c r="D166" s="1" t="d">
        <v>2019-12-14T12:12:04.999999743886291650</v>
      </c>
      <c r="E166" s="1" t="d">
        <v>2019-12-14T12:46:16.99999976903200050</v>
      </c>
      <c r="F166" t="s">
        <v>508</v>
      </c>
      <c r="G166">
        <v>3</v>
      </c>
      <c r="H166">
        <v>2</v>
      </c>
      <c r="I166">
        <v>2</v>
      </c>
      <c r="J166">
        <v>3</v>
      </c>
      <c r="K166">
        <v>4</v>
      </c>
      <c r="L166">
        <v>4</v>
      </c>
      <c r="M166">
        <v>3</v>
      </c>
      <c r="N166">
        <v>3</v>
      </c>
      <c r="O166" s="2">
        <v>3</v>
      </c>
      <c r="P166" s="2">
        <v>2</v>
      </c>
      <c r="Q166" s="2">
        <v>3</v>
      </c>
      <c r="R166">
        <v>3</v>
      </c>
      <c r="S166">
        <v>2</v>
      </c>
      <c r="T166">
        <v>4</v>
      </c>
      <c r="U166" s="1" t="d">
        <v>2020-04-17T11:49:32.999999905005097350</v>
      </c>
      <c r="V166" s="1" t="d">
        <v>2020-04-17T12:20:21.00000001955777475</v>
      </c>
      <c r="W166" t="s">
        <v>509</v>
      </c>
      <c r="X166">
        <v>3</v>
      </c>
      <c r="Y166">
        <v>2</v>
      </c>
      <c r="Z166">
        <v>2</v>
      </c>
      <c r="AA166">
        <v>3</v>
      </c>
      <c r="AB166">
        <v>3</v>
      </c>
      <c r="AC166">
        <v>3</v>
      </c>
      <c r="AD166">
        <v>3</v>
      </c>
      <c r="AE166">
        <v>3</v>
      </c>
      <c r="AF166" s="2">
        <v>2</v>
      </c>
      <c r="AG166" s="2">
        <v>2</v>
      </c>
      <c r="AH166" s="2">
        <v>4</v>
      </c>
      <c r="AI166">
        <v>4</v>
      </c>
      <c r="AJ166">
        <v>2</v>
      </c>
      <c r="AK166">
        <v>3</v>
      </c>
      <c r="AY166">
        <v>39.769889595000002</v>
      </c>
      <c r="AZ166">
        <v>36.893032533000003</v>
      </c>
      <c r="BA166">
        <v>38.383543172499998</v>
      </c>
      <c r="BB166">
        <v>47.333963027499998</v>
      </c>
    </row>
    <row r="167" spans="1:54" x14ac:dyDescent="0.25">
      <c r="A167">
        <v>166</v>
      </c>
      <c r="B167" t="s">
        <v>510</v>
      </c>
      <c r="C167" t="s">
        <v>111</v>
      </c>
      <c r="D167" s="1" t="d">
        <v>2020-01-16T19:58:40.99999997299164375</v>
      </c>
      <c r="E167" s="1" t="d">
        <v>2020-01-16T20:16:41.99999995529651775</v>
      </c>
      <c r="F167" t="s">
        <v>511</v>
      </c>
      <c r="G167">
        <v>3</v>
      </c>
      <c r="H167">
        <v>2</v>
      </c>
      <c r="I167">
        <v>2</v>
      </c>
      <c r="J167">
        <v>4</v>
      </c>
      <c r="K167">
        <v>4</v>
      </c>
      <c r="L167">
        <v>5</v>
      </c>
      <c r="M167">
        <v>5</v>
      </c>
      <c r="N167">
        <v>3</v>
      </c>
      <c r="O167" s="2">
        <v>3</v>
      </c>
      <c r="P167" s="2">
        <v>2</v>
      </c>
      <c r="Q167" s="2">
        <v>3</v>
      </c>
      <c r="R167">
        <v>4</v>
      </c>
      <c r="S167">
        <v>3</v>
      </c>
      <c r="T167">
        <v>3</v>
      </c>
      <c r="U167" s="1" t="d">
        <v>2020-05-18T23:05:58.99999989196658175</v>
      </c>
      <c r="V167" s="1" t="d">
        <v>2020-05-18T23:18:44.00000018533318950</v>
      </c>
      <c r="W167" t="s">
        <v>512</v>
      </c>
      <c r="X167">
        <v>2</v>
      </c>
      <c r="Y167">
        <v>1</v>
      </c>
      <c r="Z167">
        <v>2</v>
      </c>
      <c r="AA167">
        <v>3</v>
      </c>
      <c r="AB167">
        <v>3</v>
      </c>
      <c r="AC167">
        <v>4</v>
      </c>
      <c r="AD167">
        <v>4</v>
      </c>
      <c r="AE167">
        <v>3</v>
      </c>
      <c r="AF167" s="2">
        <v>3</v>
      </c>
      <c r="AG167" s="2">
        <v>3</v>
      </c>
      <c r="AH167" s="2">
        <v>4</v>
      </c>
      <c r="AI167">
        <v>4</v>
      </c>
      <c r="AJ167">
        <v>2</v>
      </c>
      <c r="AK167">
        <v>2</v>
      </c>
      <c r="AY167">
        <v>41.146089387499998</v>
      </c>
      <c r="AZ167">
        <v>33.0259357005</v>
      </c>
      <c r="BA167">
        <v>39.582190038</v>
      </c>
      <c r="BB167">
        <v>40.320323416999997</v>
      </c>
    </row>
    <row r="168" spans="1:54" x14ac:dyDescent="0.25">
      <c r="A168">
        <v>167</v>
      </c>
      <c r="B168" t="s">
        <v>513</v>
      </c>
      <c r="C168" t="s">
        <v>111</v>
      </c>
      <c r="D168" s="1" t="d">
        <v>2019-12-23T12:34:56.00000025238841625</v>
      </c>
      <c r="E168" s="1" t="d">
        <v>2019-12-23T17:06:16.99999969918281075</v>
      </c>
      <c r="F168" t="s">
        <v>514</v>
      </c>
      <c r="G168">
        <v>3</v>
      </c>
      <c r="H168">
        <v>2</v>
      </c>
      <c r="I168">
        <v>3</v>
      </c>
      <c r="J168">
        <v>3</v>
      </c>
      <c r="K168">
        <v>4</v>
      </c>
      <c r="L168">
        <v>3</v>
      </c>
      <c r="M168">
        <v>3</v>
      </c>
      <c r="N168">
        <v>4</v>
      </c>
      <c r="O168" s="2">
        <v>2</v>
      </c>
      <c r="P168" s="2">
        <v>2</v>
      </c>
      <c r="Q168" s="2">
        <v>4</v>
      </c>
      <c r="R168">
        <v>3</v>
      </c>
      <c r="S168">
        <v>2</v>
      </c>
      <c r="T168">
        <v>3</v>
      </c>
      <c r="U168" s="1" t="d">
        <v>2020-04-22T12:05:02.00000018812715925</v>
      </c>
      <c r="V168" s="1" t="d">
        <v>2020-04-22T12:41:31.00000017788261475</v>
      </c>
      <c r="W168" t="s">
        <v>515</v>
      </c>
      <c r="X168">
        <v>2</v>
      </c>
      <c r="Y168">
        <v>3</v>
      </c>
      <c r="Z168">
        <v>2</v>
      </c>
      <c r="AA168">
        <v>4</v>
      </c>
      <c r="AB168">
        <v>4</v>
      </c>
      <c r="AC168">
        <v>3</v>
      </c>
      <c r="AD168">
        <v>3</v>
      </c>
      <c r="AE168">
        <v>4</v>
      </c>
      <c r="AF168" s="2">
        <v>3</v>
      </c>
      <c r="AG168" s="2">
        <v>2</v>
      </c>
      <c r="AH168" s="2">
        <v>4</v>
      </c>
      <c r="AI168">
        <v>4</v>
      </c>
      <c r="AJ168">
        <v>2</v>
      </c>
      <c r="AK168">
        <v>2</v>
      </c>
      <c r="AY168">
        <v>36.806881760000003</v>
      </c>
      <c r="AZ168">
        <v>44.266360085000002</v>
      </c>
      <c r="BA168">
        <v>37.445618490000001</v>
      </c>
      <c r="BB168">
        <v>45.202889971499999</v>
      </c>
    </row>
    <row r="169" spans="1:54" x14ac:dyDescent="0.25">
      <c r="A169">
        <v>168</v>
      </c>
      <c r="B169" t="s">
        <v>516</v>
      </c>
      <c r="C169" t="s">
        <v>111</v>
      </c>
      <c r="D169" s="1" t="d">
        <v>2020-01-14T08:31:52.99999980255961725</v>
      </c>
      <c r="E169" s="1" t="d">
        <v>2020-01-14T09:05:58.00000007729977125</v>
      </c>
      <c r="F169" t="s">
        <v>517</v>
      </c>
      <c r="G169">
        <v>4</v>
      </c>
      <c r="H169">
        <v>2</v>
      </c>
      <c r="I169">
        <v>2</v>
      </c>
      <c r="J169">
        <v>2</v>
      </c>
      <c r="K169">
        <v>1</v>
      </c>
      <c r="L169">
        <v>3</v>
      </c>
      <c r="M169">
        <v>4</v>
      </c>
      <c r="N169">
        <v>2</v>
      </c>
      <c r="O169" s="2">
        <v>2</v>
      </c>
      <c r="P169" s="2">
        <v>3</v>
      </c>
      <c r="Q169" s="2">
        <v>3</v>
      </c>
      <c r="R169">
        <v>4</v>
      </c>
      <c r="S169">
        <v>3</v>
      </c>
      <c r="T169">
        <v>3</v>
      </c>
      <c r="U169" s="1" t="d">
        <v>2020-05-20T05:15:09.999999823048710975</v>
      </c>
      <c r="V169" s="1" t="d">
        <v>2020-05-20T05:55:16.99999985285103225</v>
      </c>
      <c r="W169" t="s">
        <v>518</v>
      </c>
      <c r="X169">
        <v>3</v>
      </c>
      <c r="Y169">
        <v>2</v>
      </c>
      <c r="Z169">
        <v>2</v>
      </c>
      <c r="AA169">
        <v>2</v>
      </c>
      <c r="AB169">
        <v>2</v>
      </c>
      <c r="AC169">
        <v>3</v>
      </c>
      <c r="AD169">
        <v>4</v>
      </c>
      <c r="AE169">
        <v>3</v>
      </c>
      <c r="AF169" s="2">
        <v>2</v>
      </c>
      <c r="AG169" s="2">
        <v>1</v>
      </c>
      <c r="AH169" s="2">
        <v>4</v>
      </c>
      <c r="AI169">
        <v>4</v>
      </c>
      <c r="AJ169">
        <v>4</v>
      </c>
      <c r="AK169">
        <v>3</v>
      </c>
      <c r="AY169">
        <v>46.551351513</v>
      </c>
      <c r="AZ169">
        <v>38.487698487000003</v>
      </c>
      <c r="BA169">
        <v>43.4359451845</v>
      </c>
      <c r="BB169">
        <v>45.455053556999999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2D3C-40DA-41EB-9FD4-D25F7EDDDE9E}">
  <dimension ref="A1:J172"/>
  <sheetViews>
    <sheetView topLeftCell="A145" workbookViewId="0">
      <selection activeCell="I177" sqref="I177"/>
    </sheetView>
  </sheetViews>
  <sheetFormatPr defaultRowHeight="15.75" x14ac:dyDescent="0.25"/>
  <cols>
    <col min="1" max="3" width="11" style="2"/>
    <col min="8" max="10" width="11" style="2"/>
  </cols>
  <sheetData>
    <row r="1" spans="1:10" x14ac:dyDescent="0.25">
      <c r="A1" s="2" t="s">
        <v>14</v>
      </c>
      <c r="B1" s="2" t="s">
        <v>15</v>
      </c>
      <c r="C1" s="2" t="s">
        <v>16</v>
      </c>
      <c r="H1" s="2" t="s">
        <v>31</v>
      </c>
      <c r="I1" s="2" t="s">
        <v>32</v>
      </c>
      <c r="J1" s="2" t="s">
        <v>33</v>
      </c>
    </row>
    <row r="2" spans="1:10" x14ac:dyDescent="0.25">
      <c r="A2" s="2">
        <v>3</v>
      </c>
      <c r="B2" s="2">
        <v>3</v>
      </c>
      <c r="C2" s="2">
        <v>4</v>
      </c>
    </row>
    <row r="3" spans="1:10" x14ac:dyDescent="0.25">
      <c r="A3" s="2">
        <v>2</v>
      </c>
      <c r="B3" s="2">
        <v>2</v>
      </c>
      <c r="C3" s="2">
        <v>2</v>
      </c>
      <c r="H3" s="2">
        <v>2</v>
      </c>
      <c r="I3" s="2">
        <v>2</v>
      </c>
      <c r="J3" s="2">
        <v>2</v>
      </c>
    </row>
    <row r="4" spans="1:10" x14ac:dyDescent="0.25">
      <c r="A4" s="2">
        <v>1</v>
      </c>
      <c r="B4" s="2">
        <v>1</v>
      </c>
      <c r="C4" s="2">
        <v>6</v>
      </c>
      <c r="H4" s="2">
        <v>3</v>
      </c>
      <c r="I4" s="2">
        <v>3</v>
      </c>
      <c r="J4" s="2">
        <v>2</v>
      </c>
    </row>
    <row r="5" spans="1:10" x14ac:dyDescent="0.25">
      <c r="A5" s="2">
        <v>1</v>
      </c>
      <c r="B5" s="2">
        <v>2</v>
      </c>
      <c r="C5" s="2">
        <v>5</v>
      </c>
      <c r="H5" s="2">
        <v>3</v>
      </c>
      <c r="I5" s="2">
        <v>3</v>
      </c>
      <c r="J5" s="2">
        <v>3</v>
      </c>
    </row>
    <row r="6" spans="1:10" x14ac:dyDescent="0.25">
      <c r="A6" s="2">
        <v>3</v>
      </c>
      <c r="B6" s="2">
        <v>1</v>
      </c>
      <c r="C6" s="2">
        <v>4</v>
      </c>
      <c r="H6" s="2">
        <v>3</v>
      </c>
      <c r="I6" s="2">
        <v>1</v>
      </c>
      <c r="J6" s="2">
        <v>5</v>
      </c>
    </row>
    <row r="7" spans="1:10" x14ac:dyDescent="0.25">
      <c r="A7" s="2">
        <v>3</v>
      </c>
      <c r="B7" s="2">
        <v>3</v>
      </c>
      <c r="C7" s="2">
        <v>4</v>
      </c>
      <c r="H7" s="2">
        <v>3</v>
      </c>
      <c r="I7" s="2">
        <v>4</v>
      </c>
      <c r="J7" s="2">
        <v>3</v>
      </c>
    </row>
    <row r="8" spans="1:10" x14ac:dyDescent="0.25">
      <c r="A8" s="2">
        <v>2</v>
      </c>
      <c r="B8" s="2">
        <v>3</v>
      </c>
      <c r="C8" s="2">
        <v>3</v>
      </c>
      <c r="H8" s="2">
        <v>3</v>
      </c>
      <c r="I8" s="2">
        <v>2</v>
      </c>
      <c r="J8" s="2">
        <v>2</v>
      </c>
    </row>
    <row r="9" spans="1:10" x14ac:dyDescent="0.25">
      <c r="A9" s="2">
        <v>3</v>
      </c>
      <c r="B9" s="2">
        <v>3</v>
      </c>
      <c r="C9" s="2">
        <v>3</v>
      </c>
      <c r="H9" s="2">
        <v>4</v>
      </c>
      <c r="I9" s="2">
        <v>4</v>
      </c>
      <c r="J9" s="2">
        <v>3</v>
      </c>
    </row>
    <row r="10" spans="1:10" x14ac:dyDescent="0.25">
      <c r="A10" s="2">
        <v>4</v>
      </c>
      <c r="B10" s="2">
        <v>1</v>
      </c>
      <c r="C10" s="2">
        <v>2</v>
      </c>
      <c r="H10" s="2">
        <v>3</v>
      </c>
      <c r="I10" s="2">
        <v>3</v>
      </c>
      <c r="J10" s="2">
        <v>3</v>
      </c>
    </row>
    <row r="11" spans="1:10" x14ac:dyDescent="0.25">
      <c r="A11" s="2">
        <v>3</v>
      </c>
      <c r="B11" s="2">
        <v>3</v>
      </c>
      <c r="C11" s="2">
        <v>5</v>
      </c>
      <c r="H11" s="2">
        <v>1</v>
      </c>
      <c r="I11" s="2">
        <v>1</v>
      </c>
      <c r="J11" s="2">
        <v>6</v>
      </c>
    </row>
    <row r="12" spans="1:10" x14ac:dyDescent="0.25">
      <c r="A12" s="2">
        <v>2</v>
      </c>
      <c r="B12" s="2">
        <v>1</v>
      </c>
      <c r="C12" s="2">
        <v>5</v>
      </c>
      <c r="H12" s="2">
        <v>4</v>
      </c>
      <c r="I12" s="2">
        <v>2</v>
      </c>
      <c r="J12" s="2">
        <v>2</v>
      </c>
    </row>
    <row r="13" spans="1:10" x14ac:dyDescent="0.25">
      <c r="A13" s="2">
        <v>1</v>
      </c>
      <c r="B13" s="2">
        <v>1</v>
      </c>
      <c r="C13" s="2">
        <v>5</v>
      </c>
      <c r="H13" s="2">
        <v>1</v>
      </c>
      <c r="I13" s="2">
        <v>1</v>
      </c>
      <c r="J13" s="2">
        <v>6</v>
      </c>
    </row>
    <row r="14" spans="1:10" x14ac:dyDescent="0.25">
      <c r="A14" s="2">
        <v>3</v>
      </c>
      <c r="B14" s="2">
        <v>5</v>
      </c>
      <c r="C14" s="2">
        <v>2</v>
      </c>
    </row>
    <row r="15" spans="1:10" x14ac:dyDescent="0.25">
      <c r="A15" s="2">
        <v>2</v>
      </c>
      <c r="B15" s="2">
        <v>2</v>
      </c>
      <c r="C15" s="2">
        <v>5</v>
      </c>
      <c r="H15" s="2">
        <v>2</v>
      </c>
      <c r="I15" s="2">
        <v>2</v>
      </c>
      <c r="J15" s="2">
        <v>5</v>
      </c>
    </row>
    <row r="16" spans="1:10" x14ac:dyDescent="0.25">
      <c r="A16" s="2">
        <v>1</v>
      </c>
      <c r="B16" s="2">
        <v>2</v>
      </c>
      <c r="C16" s="2">
        <v>5</v>
      </c>
    </row>
    <row r="17" spans="1:10" x14ac:dyDescent="0.25">
      <c r="A17" s="2">
        <v>2</v>
      </c>
      <c r="B17" s="2">
        <v>3</v>
      </c>
      <c r="C17" s="2">
        <v>5</v>
      </c>
      <c r="H17" s="2">
        <v>4</v>
      </c>
      <c r="I17" s="2">
        <v>3</v>
      </c>
      <c r="J17" s="2">
        <v>3</v>
      </c>
    </row>
    <row r="18" spans="1:10" x14ac:dyDescent="0.25">
      <c r="A18" s="2">
        <v>2</v>
      </c>
      <c r="B18" s="2">
        <v>3</v>
      </c>
      <c r="C18" s="2">
        <v>5</v>
      </c>
    </row>
    <row r="19" spans="1:10" x14ac:dyDescent="0.25">
      <c r="A19" s="2">
        <v>1</v>
      </c>
      <c r="B19" s="2">
        <v>4</v>
      </c>
      <c r="C19" s="2">
        <v>4</v>
      </c>
      <c r="H19" s="2">
        <v>3</v>
      </c>
      <c r="I19" s="2">
        <v>2</v>
      </c>
      <c r="J19" s="2">
        <v>2</v>
      </c>
    </row>
    <row r="20" spans="1:10" x14ac:dyDescent="0.25">
      <c r="A20" s="2">
        <v>4</v>
      </c>
      <c r="B20" s="2">
        <v>4</v>
      </c>
      <c r="C20" s="2">
        <v>3</v>
      </c>
      <c r="H20" s="2">
        <v>2</v>
      </c>
      <c r="I20" s="2">
        <v>3</v>
      </c>
      <c r="J20" s="2">
        <v>3</v>
      </c>
    </row>
    <row r="21" spans="1:10" x14ac:dyDescent="0.25">
      <c r="A21" s="2">
        <v>1</v>
      </c>
      <c r="B21" s="2">
        <v>1</v>
      </c>
      <c r="C21" s="2">
        <v>5</v>
      </c>
      <c r="H21" s="2">
        <v>3</v>
      </c>
      <c r="I21" s="2">
        <v>2</v>
      </c>
      <c r="J21" s="2">
        <v>2</v>
      </c>
    </row>
    <row r="22" spans="1:10" x14ac:dyDescent="0.25">
      <c r="A22" s="2">
        <v>3</v>
      </c>
      <c r="B22" s="2">
        <v>2</v>
      </c>
      <c r="C22" s="2">
        <v>3</v>
      </c>
      <c r="H22" s="2">
        <v>3</v>
      </c>
      <c r="I22" s="2">
        <v>1</v>
      </c>
      <c r="J22" s="2">
        <v>2</v>
      </c>
    </row>
    <row r="23" spans="1:10" x14ac:dyDescent="0.25">
      <c r="A23" s="2">
        <v>1</v>
      </c>
      <c r="B23" s="2">
        <v>1</v>
      </c>
      <c r="C23" s="2">
        <v>3</v>
      </c>
      <c r="H23" s="2">
        <v>2</v>
      </c>
      <c r="I23" s="2">
        <v>1</v>
      </c>
      <c r="J23" s="2">
        <v>5</v>
      </c>
    </row>
    <row r="24" spans="1:10" x14ac:dyDescent="0.25">
      <c r="A24" s="2">
        <v>2</v>
      </c>
      <c r="B24" s="2">
        <v>2</v>
      </c>
      <c r="C24" s="2">
        <v>3</v>
      </c>
      <c r="H24" s="2">
        <v>5</v>
      </c>
      <c r="I24" s="2">
        <v>4</v>
      </c>
      <c r="J24" s="2">
        <v>2</v>
      </c>
    </row>
    <row r="25" spans="1:10" x14ac:dyDescent="0.25">
      <c r="A25" s="2">
        <v>2</v>
      </c>
      <c r="B25" s="2">
        <v>2</v>
      </c>
      <c r="C25" s="2">
        <v>4</v>
      </c>
      <c r="H25" s="2">
        <v>3</v>
      </c>
      <c r="I25" s="2">
        <v>2</v>
      </c>
      <c r="J25" s="2">
        <v>3</v>
      </c>
    </row>
    <row r="26" spans="1:10" x14ac:dyDescent="0.25">
      <c r="H26" s="2">
        <v>2</v>
      </c>
      <c r="I26" s="2">
        <v>2</v>
      </c>
      <c r="J26" s="2">
        <v>2</v>
      </c>
    </row>
    <row r="27" spans="1:10" x14ac:dyDescent="0.25">
      <c r="A27" s="2">
        <v>2</v>
      </c>
      <c r="B27" s="2">
        <v>1</v>
      </c>
      <c r="C27" s="2">
        <v>6</v>
      </c>
      <c r="H27" s="2">
        <v>3</v>
      </c>
      <c r="I27" s="2">
        <v>2</v>
      </c>
      <c r="J27" s="2">
        <v>4</v>
      </c>
    </row>
    <row r="28" spans="1:10" x14ac:dyDescent="0.25">
      <c r="A28" s="2">
        <v>2</v>
      </c>
      <c r="B28" s="2">
        <v>5</v>
      </c>
      <c r="C28" s="2">
        <v>5</v>
      </c>
    </row>
    <row r="29" spans="1:10" x14ac:dyDescent="0.25">
      <c r="A29" s="2">
        <v>3</v>
      </c>
      <c r="B29" s="2">
        <v>1</v>
      </c>
      <c r="C29" s="2">
        <v>6</v>
      </c>
      <c r="H29" s="2">
        <v>2</v>
      </c>
      <c r="I29" s="2">
        <v>1</v>
      </c>
      <c r="J29" s="2">
        <v>5</v>
      </c>
    </row>
    <row r="30" spans="1:10" x14ac:dyDescent="0.25">
      <c r="A30" s="2">
        <v>3</v>
      </c>
      <c r="B30" s="2">
        <v>2</v>
      </c>
      <c r="C30" s="2">
        <v>4</v>
      </c>
      <c r="H30" s="2">
        <v>3</v>
      </c>
      <c r="I30" s="2">
        <v>2</v>
      </c>
      <c r="J30" s="2">
        <v>5</v>
      </c>
    </row>
    <row r="31" spans="1:10" x14ac:dyDescent="0.25">
      <c r="A31" s="2">
        <v>2</v>
      </c>
      <c r="B31" s="2">
        <v>6</v>
      </c>
      <c r="C31" s="2">
        <v>6</v>
      </c>
      <c r="H31" s="2">
        <v>1</v>
      </c>
      <c r="I31" s="2">
        <v>2</v>
      </c>
      <c r="J31" s="2">
        <v>5</v>
      </c>
    </row>
    <row r="32" spans="1:10" x14ac:dyDescent="0.25">
      <c r="A32" s="2">
        <v>4</v>
      </c>
      <c r="B32" s="2">
        <v>2</v>
      </c>
      <c r="C32" s="2">
        <v>3</v>
      </c>
      <c r="H32" s="2">
        <v>4</v>
      </c>
      <c r="I32" s="2">
        <v>2</v>
      </c>
      <c r="J32" s="2">
        <v>2</v>
      </c>
    </row>
    <row r="33" spans="1:10" x14ac:dyDescent="0.25">
      <c r="A33" s="2">
        <v>2</v>
      </c>
      <c r="B33" s="2">
        <v>3</v>
      </c>
      <c r="C33" s="2">
        <v>4</v>
      </c>
      <c r="H33" s="2">
        <v>2</v>
      </c>
      <c r="I33" s="2">
        <v>3</v>
      </c>
      <c r="J33" s="2">
        <v>3</v>
      </c>
    </row>
    <row r="34" spans="1:10" x14ac:dyDescent="0.25">
      <c r="A34" s="2">
        <v>1</v>
      </c>
      <c r="B34" s="2">
        <v>1</v>
      </c>
      <c r="C34" s="2">
        <v>5</v>
      </c>
      <c r="H34" s="2">
        <v>1</v>
      </c>
      <c r="I34" s="2">
        <v>1</v>
      </c>
      <c r="J34" s="2">
        <v>5</v>
      </c>
    </row>
    <row r="35" spans="1:10" x14ac:dyDescent="0.25">
      <c r="A35" s="2">
        <v>1</v>
      </c>
      <c r="B35" s="2">
        <v>1</v>
      </c>
      <c r="C35" s="2">
        <v>6</v>
      </c>
      <c r="H35" s="2">
        <v>4</v>
      </c>
      <c r="I35" s="2">
        <v>3</v>
      </c>
      <c r="J35" s="2">
        <v>4</v>
      </c>
    </row>
    <row r="36" spans="1:10" x14ac:dyDescent="0.25">
      <c r="A36" s="2">
        <v>2</v>
      </c>
      <c r="B36" s="2">
        <v>2</v>
      </c>
      <c r="C36" s="2">
        <v>5</v>
      </c>
      <c r="H36" s="2">
        <v>4</v>
      </c>
      <c r="I36" s="2">
        <v>5</v>
      </c>
      <c r="J36" s="2">
        <v>2</v>
      </c>
    </row>
    <row r="37" spans="1:10" x14ac:dyDescent="0.25">
      <c r="A37" s="2">
        <v>2</v>
      </c>
      <c r="B37" s="2">
        <v>2</v>
      </c>
      <c r="C37" s="2">
        <v>3</v>
      </c>
      <c r="H37" s="2">
        <v>3</v>
      </c>
      <c r="I37" s="2">
        <v>4</v>
      </c>
      <c r="J37" s="2">
        <v>2</v>
      </c>
    </row>
    <row r="38" spans="1:10" x14ac:dyDescent="0.25">
      <c r="A38" s="2">
        <v>4</v>
      </c>
      <c r="B38" s="2">
        <v>5</v>
      </c>
      <c r="C38" s="2">
        <v>4</v>
      </c>
      <c r="H38" s="2">
        <v>3</v>
      </c>
      <c r="I38" s="2">
        <v>3</v>
      </c>
      <c r="J38" s="2">
        <v>4</v>
      </c>
    </row>
    <row r="39" spans="1:10" x14ac:dyDescent="0.25">
      <c r="A39" s="2">
        <v>2</v>
      </c>
      <c r="B39" s="2">
        <v>3</v>
      </c>
      <c r="C39" s="2">
        <v>4</v>
      </c>
      <c r="H39" s="2">
        <v>2</v>
      </c>
      <c r="I39" s="2">
        <v>2</v>
      </c>
      <c r="J39" s="2">
        <v>4</v>
      </c>
    </row>
    <row r="40" spans="1:10" x14ac:dyDescent="0.25">
      <c r="A40" s="2">
        <v>1</v>
      </c>
      <c r="B40" s="2">
        <v>1</v>
      </c>
      <c r="C40" s="2">
        <v>5</v>
      </c>
      <c r="H40" s="2">
        <v>2</v>
      </c>
      <c r="I40" s="2">
        <v>2</v>
      </c>
      <c r="J40" s="2">
        <v>4</v>
      </c>
    </row>
    <row r="41" spans="1:10" x14ac:dyDescent="0.25">
      <c r="A41" s="2">
        <v>1</v>
      </c>
      <c r="B41" s="2">
        <v>1</v>
      </c>
      <c r="C41" s="2">
        <v>5</v>
      </c>
      <c r="H41" s="2">
        <v>4</v>
      </c>
      <c r="I41" s="2">
        <v>3</v>
      </c>
      <c r="J41" s="2">
        <v>2</v>
      </c>
    </row>
    <row r="42" spans="1:10" x14ac:dyDescent="0.25">
      <c r="A42" s="2">
        <v>2</v>
      </c>
      <c r="B42" s="2">
        <v>2</v>
      </c>
      <c r="C42" s="2">
        <v>5</v>
      </c>
      <c r="H42" s="2">
        <v>3</v>
      </c>
      <c r="I42" s="2">
        <v>2</v>
      </c>
      <c r="J42" s="2">
        <v>5</v>
      </c>
    </row>
    <row r="43" spans="1:10" x14ac:dyDescent="0.25">
      <c r="A43" s="2">
        <v>2</v>
      </c>
      <c r="B43" s="2">
        <v>1</v>
      </c>
      <c r="C43" s="2">
        <v>6</v>
      </c>
      <c r="H43" s="2">
        <v>4</v>
      </c>
      <c r="I43" s="2">
        <v>3</v>
      </c>
      <c r="J43" s="2">
        <v>2</v>
      </c>
    </row>
    <row r="44" spans="1:10" x14ac:dyDescent="0.25">
      <c r="A44" s="2">
        <v>3</v>
      </c>
      <c r="B44" s="2">
        <v>3</v>
      </c>
      <c r="C44" s="2">
        <v>4</v>
      </c>
      <c r="H44" s="2">
        <v>4</v>
      </c>
      <c r="I44" s="2">
        <v>1</v>
      </c>
      <c r="J44" s="2">
        <v>4</v>
      </c>
    </row>
    <row r="45" spans="1:10" x14ac:dyDescent="0.25">
      <c r="A45" s="2">
        <v>2</v>
      </c>
      <c r="B45" s="2">
        <v>1</v>
      </c>
      <c r="C45" s="2">
        <v>4</v>
      </c>
      <c r="H45" s="2">
        <v>5</v>
      </c>
      <c r="I45" s="2">
        <v>4</v>
      </c>
      <c r="J45" s="2">
        <v>2</v>
      </c>
    </row>
    <row r="46" spans="1:10" x14ac:dyDescent="0.25">
      <c r="A46" s="2">
        <v>5</v>
      </c>
      <c r="B46" s="2">
        <v>4</v>
      </c>
      <c r="C46" s="2">
        <v>2</v>
      </c>
    </row>
    <row r="47" spans="1:10" x14ac:dyDescent="0.25">
      <c r="A47" s="2">
        <v>2</v>
      </c>
      <c r="B47" s="2">
        <v>1</v>
      </c>
      <c r="C47" s="2">
        <v>4</v>
      </c>
    </row>
    <row r="48" spans="1:10" x14ac:dyDescent="0.25">
      <c r="A48" s="2">
        <v>2</v>
      </c>
      <c r="B48" s="2">
        <v>1</v>
      </c>
      <c r="C48" s="2">
        <v>6</v>
      </c>
      <c r="H48" s="2">
        <v>2</v>
      </c>
      <c r="I48" s="2">
        <v>1</v>
      </c>
      <c r="J48" s="2">
        <v>5</v>
      </c>
    </row>
    <row r="49" spans="1:10" x14ac:dyDescent="0.25">
      <c r="A49" s="2">
        <v>2</v>
      </c>
      <c r="B49" s="2">
        <v>4</v>
      </c>
      <c r="C49" s="2">
        <v>4</v>
      </c>
      <c r="H49" s="2">
        <v>3</v>
      </c>
      <c r="I49" s="2">
        <v>2</v>
      </c>
      <c r="J49" s="2">
        <v>4</v>
      </c>
    </row>
    <row r="50" spans="1:10" x14ac:dyDescent="0.25">
      <c r="A50" s="2">
        <v>1</v>
      </c>
      <c r="B50" s="2">
        <v>1</v>
      </c>
      <c r="C50" s="2">
        <v>6</v>
      </c>
    </row>
    <row r="51" spans="1:10" x14ac:dyDescent="0.25">
      <c r="A51" s="2">
        <v>1</v>
      </c>
      <c r="B51" s="2">
        <v>1</v>
      </c>
      <c r="C51" s="2">
        <v>6</v>
      </c>
    </row>
    <row r="52" spans="1:10" x14ac:dyDescent="0.25">
      <c r="A52" s="2">
        <v>3</v>
      </c>
      <c r="B52" s="2">
        <v>3</v>
      </c>
      <c r="C52" s="2">
        <v>1</v>
      </c>
      <c r="H52" s="2">
        <v>6</v>
      </c>
      <c r="I52" s="2">
        <v>1</v>
      </c>
      <c r="J52" s="2">
        <v>1</v>
      </c>
    </row>
    <row r="53" spans="1:10" x14ac:dyDescent="0.25">
      <c r="A53" s="2">
        <v>2</v>
      </c>
      <c r="B53" s="2">
        <v>2</v>
      </c>
      <c r="C53" s="2">
        <v>5</v>
      </c>
    </row>
    <row r="54" spans="1:10" x14ac:dyDescent="0.25">
      <c r="A54" s="2">
        <v>4</v>
      </c>
      <c r="B54" s="2">
        <v>2</v>
      </c>
      <c r="C54" s="2">
        <v>3</v>
      </c>
      <c r="H54" s="2">
        <v>3</v>
      </c>
      <c r="I54" s="2">
        <v>2</v>
      </c>
      <c r="J54" s="2">
        <v>4</v>
      </c>
    </row>
    <row r="55" spans="1:10" x14ac:dyDescent="0.25">
      <c r="A55" s="2">
        <v>3</v>
      </c>
      <c r="B55" s="2">
        <v>2</v>
      </c>
      <c r="C55" s="2">
        <v>5</v>
      </c>
      <c r="H55" s="2">
        <v>4</v>
      </c>
      <c r="I55" s="2">
        <v>3</v>
      </c>
      <c r="J55" s="2">
        <v>2</v>
      </c>
    </row>
    <row r="56" spans="1:10" x14ac:dyDescent="0.25">
      <c r="A56" s="2">
        <v>1</v>
      </c>
      <c r="B56" s="2">
        <v>2</v>
      </c>
      <c r="C56" s="2">
        <v>5</v>
      </c>
      <c r="H56" s="2">
        <v>1</v>
      </c>
      <c r="I56" s="2">
        <v>1</v>
      </c>
      <c r="J56" s="2">
        <v>6</v>
      </c>
    </row>
    <row r="57" spans="1:10" x14ac:dyDescent="0.25">
      <c r="A57" s="2">
        <v>2</v>
      </c>
      <c r="B57" s="2">
        <v>2</v>
      </c>
      <c r="C57" s="2">
        <v>5</v>
      </c>
      <c r="H57" s="2">
        <v>3</v>
      </c>
      <c r="I57" s="2">
        <v>3</v>
      </c>
      <c r="J57" s="2">
        <v>5</v>
      </c>
    </row>
    <row r="58" spans="1:10" x14ac:dyDescent="0.25">
      <c r="A58" s="2">
        <v>2</v>
      </c>
      <c r="B58" s="2">
        <v>1</v>
      </c>
      <c r="C58" s="2">
        <v>5</v>
      </c>
      <c r="H58" s="2">
        <v>2</v>
      </c>
      <c r="I58" s="2">
        <v>2</v>
      </c>
      <c r="J58" s="2">
        <v>5</v>
      </c>
    </row>
    <row r="59" spans="1:10" x14ac:dyDescent="0.25">
      <c r="A59" s="2">
        <v>2</v>
      </c>
      <c r="B59" s="2">
        <v>2</v>
      </c>
      <c r="C59" s="2">
        <v>5</v>
      </c>
      <c r="H59" s="2">
        <v>5</v>
      </c>
      <c r="I59" s="2">
        <v>4</v>
      </c>
      <c r="J59" s="2">
        <v>2</v>
      </c>
    </row>
    <row r="60" spans="1:10" x14ac:dyDescent="0.25">
      <c r="A60" s="2">
        <v>1</v>
      </c>
      <c r="B60" s="2">
        <v>1</v>
      </c>
      <c r="C60" s="2">
        <v>5</v>
      </c>
      <c r="H60" s="2">
        <v>3</v>
      </c>
      <c r="I60" s="2">
        <v>2</v>
      </c>
      <c r="J60" s="2">
        <v>3</v>
      </c>
    </row>
    <row r="61" spans="1:10" x14ac:dyDescent="0.25">
      <c r="A61" s="2">
        <v>4</v>
      </c>
      <c r="B61" s="2">
        <v>3</v>
      </c>
      <c r="C61" s="2">
        <v>2</v>
      </c>
      <c r="H61" s="2">
        <v>3</v>
      </c>
      <c r="I61" s="2">
        <v>6</v>
      </c>
      <c r="J61" s="2">
        <v>5</v>
      </c>
    </row>
    <row r="62" spans="1:10" x14ac:dyDescent="0.25">
      <c r="A62" s="2">
        <v>2</v>
      </c>
      <c r="B62" s="2">
        <v>3</v>
      </c>
      <c r="C62" s="2">
        <v>3</v>
      </c>
    </row>
    <row r="63" spans="1:10" x14ac:dyDescent="0.25">
      <c r="A63" s="2">
        <v>2</v>
      </c>
      <c r="B63" s="2">
        <v>1</v>
      </c>
      <c r="C63" s="2">
        <v>6</v>
      </c>
      <c r="H63" s="2">
        <v>3</v>
      </c>
      <c r="I63" s="2">
        <v>3</v>
      </c>
      <c r="J63" s="2">
        <v>3</v>
      </c>
    </row>
    <row r="64" spans="1:10" x14ac:dyDescent="0.25">
      <c r="A64" s="2">
        <v>3</v>
      </c>
      <c r="B64" s="2">
        <v>2</v>
      </c>
      <c r="C64" s="2">
        <v>3</v>
      </c>
    </row>
    <row r="65" spans="1:10" x14ac:dyDescent="0.25">
      <c r="A65" s="2">
        <v>1</v>
      </c>
      <c r="B65" s="2">
        <v>2</v>
      </c>
      <c r="C65" s="2">
        <v>4</v>
      </c>
      <c r="H65" s="2">
        <v>2</v>
      </c>
      <c r="I65" s="2">
        <v>1</v>
      </c>
      <c r="J65" s="2">
        <v>5</v>
      </c>
    </row>
    <row r="66" spans="1:10" x14ac:dyDescent="0.25">
      <c r="A66" s="2">
        <v>4</v>
      </c>
      <c r="B66" s="2">
        <v>5</v>
      </c>
      <c r="C66" s="2">
        <v>2</v>
      </c>
      <c r="H66" s="2">
        <v>3</v>
      </c>
      <c r="I66" s="2">
        <v>5</v>
      </c>
      <c r="J66" s="2">
        <v>2</v>
      </c>
    </row>
    <row r="67" spans="1:10" x14ac:dyDescent="0.25">
      <c r="A67" s="2">
        <v>1</v>
      </c>
      <c r="B67" s="2">
        <v>1</v>
      </c>
      <c r="C67" s="2">
        <v>5</v>
      </c>
      <c r="H67" s="2">
        <v>1</v>
      </c>
      <c r="I67" s="2">
        <v>1</v>
      </c>
      <c r="J67" s="2">
        <v>3</v>
      </c>
    </row>
    <row r="68" spans="1:10" x14ac:dyDescent="0.25">
      <c r="A68" s="2">
        <v>3</v>
      </c>
      <c r="B68" s="2">
        <v>4</v>
      </c>
      <c r="C68" s="2">
        <v>3</v>
      </c>
      <c r="H68" s="2">
        <v>4</v>
      </c>
      <c r="I68" s="2">
        <v>2</v>
      </c>
      <c r="J68" s="2">
        <v>3</v>
      </c>
    </row>
    <row r="69" spans="1:10" x14ac:dyDescent="0.25">
      <c r="A69" s="2">
        <v>3</v>
      </c>
      <c r="B69" s="2">
        <v>3</v>
      </c>
      <c r="C69" s="2">
        <v>2</v>
      </c>
      <c r="H69" s="2">
        <v>2</v>
      </c>
      <c r="I69" s="2">
        <v>3</v>
      </c>
      <c r="J69" s="2">
        <v>2</v>
      </c>
    </row>
    <row r="70" spans="1:10" x14ac:dyDescent="0.25">
      <c r="A70" s="2">
        <v>4</v>
      </c>
      <c r="B70" s="2">
        <v>2</v>
      </c>
      <c r="C70" s="2">
        <v>2</v>
      </c>
      <c r="H70" s="2">
        <v>1</v>
      </c>
      <c r="I70" s="2">
        <v>1</v>
      </c>
      <c r="J70" s="2">
        <v>1</v>
      </c>
    </row>
    <row r="71" spans="1:10" x14ac:dyDescent="0.25">
      <c r="A71" s="2">
        <v>1</v>
      </c>
      <c r="B71" s="2">
        <v>1</v>
      </c>
      <c r="C71" s="2">
        <v>6</v>
      </c>
      <c r="H71" s="2">
        <v>1</v>
      </c>
      <c r="I71" s="2">
        <v>2</v>
      </c>
      <c r="J71" s="2">
        <v>5</v>
      </c>
    </row>
    <row r="72" spans="1:10" x14ac:dyDescent="0.25">
      <c r="A72" s="2">
        <v>1</v>
      </c>
      <c r="B72" s="2">
        <v>1</v>
      </c>
      <c r="C72" s="2">
        <v>5</v>
      </c>
      <c r="H72" s="2">
        <v>2</v>
      </c>
      <c r="I72" s="2">
        <v>1</v>
      </c>
      <c r="J72" s="2">
        <v>5</v>
      </c>
    </row>
    <row r="73" spans="1:10" x14ac:dyDescent="0.25">
      <c r="A73" s="2">
        <v>3</v>
      </c>
      <c r="B73" s="2">
        <v>2</v>
      </c>
      <c r="C73" s="2">
        <v>5</v>
      </c>
      <c r="H73" s="2">
        <v>2</v>
      </c>
      <c r="I73" s="2">
        <v>1</v>
      </c>
      <c r="J73" s="2">
        <v>5</v>
      </c>
    </row>
    <row r="74" spans="1:10" x14ac:dyDescent="0.25">
      <c r="A74" s="2">
        <v>1</v>
      </c>
      <c r="B74" s="2">
        <v>2</v>
      </c>
      <c r="C74" s="2">
        <v>5</v>
      </c>
    </row>
    <row r="75" spans="1:10" x14ac:dyDescent="0.25">
      <c r="A75" s="2">
        <v>2</v>
      </c>
      <c r="B75" s="2">
        <v>2</v>
      </c>
      <c r="C75" s="2">
        <v>6</v>
      </c>
      <c r="H75" s="2">
        <v>1</v>
      </c>
      <c r="I75" s="2">
        <v>2</v>
      </c>
      <c r="J75" s="2">
        <v>6</v>
      </c>
    </row>
    <row r="76" spans="1:10" x14ac:dyDescent="0.25">
      <c r="A76" s="2">
        <v>2</v>
      </c>
      <c r="B76" s="2">
        <v>1</v>
      </c>
      <c r="C76" s="2">
        <v>6</v>
      </c>
      <c r="H76" s="2">
        <v>2</v>
      </c>
      <c r="I76" s="2">
        <v>4</v>
      </c>
      <c r="J76" s="2">
        <v>3</v>
      </c>
    </row>
    <row r="77" spans="1:10" x14ac:dyDescent="0.25">
      <c r="A77" s="2">
        <v>1</v>
      </c>
      <c r="B77" s="2">
        <v>1</v>
      </c>
      <c r="C77" s="2">
        <v>5</v>
      </c>
      <c r="H77" s="2">
        <v>2</v>
      </c>
      <c r="I77" s="2">
        <v>3</v>
      </c>
      <c r="J77" s="2">
        <v>5</v>
      </c>
    </row>
    <row r="78" spans="1:10" x14ac:dyDescent="0.25">
      <c r="A78" s="2">
        <v>2</v>
      </c>
      <c r="B78" s="2">
        <v>2</v>
      </c>
      <c r="C78" s="2">
        <v>4</v>
      </c>
      <c r="H78" s="2">
        <v>3</v>
      </c>
      <c r="I78" s="2">
        <v>3</v>
      </c>
      <c r="J78" s="2">
        <v>3</v>
      </c>
    </row>
    <row r="79" spans="1:10" x14ac:dyDescent="0.25">
      <c r="A79" s="2">
        <v>1</v>
      </c>
      <c r="B79" s="2">
        <v>2</v>
      </c>
      <c r="C79" s="2">
        <v>4</v>
      </c>
    </row>
    <row r="80" spans="1:10" x14ac:dyDescent="0.25">
      <c r="A80" s="2">
        <v>2</v>
      </c>
      <c r="B80" s="2">
        <v>1</v>
      </c>
      <c r="C80" s="2">
        <v>4</v>
      </c>
      <c r="H80" s="2">
        <v>2</v>
      </c>
      <c r="I80" s="2">
        <v>3</v>
      </c>
      <c r="J80" s="2">
        <v>2</v>
      </c>
    </row>
    <row r="81" spans="1:10" x14ac:dyDescent="0.25">
      <c r="A81" s="2">
        <v>3</v>
      </c>
      <c r="B81" s="2">
        <v>4</v>
      </c>
      <c r="C81" s="2">
        <v>2</v>
      </c>
      <c r="H81" s="2">
        <v>1</v>
      </c>
      <c r="I81" s="2">
        <v>4</v>
      </c>
      <c r="J81" s="2">
        <v>4</v>
      </c>
    </row>
    <row r="82" spans="1:10" x14ac:dyDescent="0.25">
      <c r="A82" s="2">
        <v>3</v>
      </c>
      <c r="B82" s="2">
        <v>2</v>
      </c>
      <c r="C82" s="2">
        <v>4</v>
      </c>
      <c r="H82" s="2">
        <v>4</v>
      </c>
      <c r="I82" s="2">
        <v>2</v>
      </c>
      <c r="J82" s="2">
        <v>2</v>
      </c>
    </row>
    <row r="83" spans="1:10" x14ac:dyDescent="0.25">
      <c r="A83" s="2">
        <v>3</v>
      </c>
      <c r="B83" s="2">
        <v>4</v>
      </c>
      <c r="C83" s="2">
        <v>4</v>
      </c>
      <c r="H83" s="2">
        <v>5</v>
      </c>
      <c r="I83" s="2">
        <v>5</v>
      </c>
      <c r="J83" s="2">
        <v>3</v>
      </c>
    </row>
    <row r="84" spans="1:10" x14ac:dyDescent="0.25">
      <c r="A84" s="2">
        <v>1</v>
      </c>
      <c r="B84" s="2">
        <v>2</v>
      </c>
      <c r="C84" s="2">
        <v>4</v>
      </c>
    </row>
    <row r="85" spans="1:10" x14ac:dyDescent="0.25">
      <c r="A85" s="2">
        <v>2</v>
      </c>
      <c r="B85" s="2">
        <v>2</v>
      </c>
      <c r="C85" s="2">
        <v>5</v>
      </c>
      <c r="H85" s="2">
        <v>5</v>
      </c>
      <c r="I85" s="2">
        <v>4</v>
      </c>
      <c r="J85" s="2">
        <v>3</v>
      </c>
    </row>
    <row r="86" spans="1:10" x14ac:dyDescent="0.25">
      <c r="A86" s="2">
        <v>3</v>
      </c>
      <c r="B86" s="2">
        <v>2</v>
      </c>
      <c r="C86" s="2">
        <v>5</v>
      </c>
      <c r="H86" s="2">
        <v>3</v>
      </c>
      <c r="I86" s="2">
        <v>2</v>
      </c>
      <c r="J86" s="2">
        <v>4</v>
      </c>
    </row>
    <row r="87" spans="1:10" x14ac:dyDescent="0.25">
      <c r="A87" s="2">
        <v>3</v>
      </c>
      <c r="B87" s="2">
        <v>2</v>
      </c>
      <c r="C87" s="2">
        <v>4</v>
      </c>
      <c r="H87" s="2">
        <v>3</v>
      </c>
      <c r="I87" s="2">
        <v>3</v>
      </c>
      <c r="J87" s="2">
        <v>3</v>
      </c>
    </row>
    <row r="88" spans="1:10" x14ac:dyDescent="0.25">
      <c r="A88" s="2">
        <v>1</v>
      </c>
      <c r="B88" s="2">
        <v>2</v>
      </c>
      <c r="C88" s="2">
        <v>5</v>
      </c>
      <c r="H88" s="2">
        <v>2</v>
      </c>
      <c r="I88" s="2">
        <v>1</v>
      </c>
      <c r="J88" s="2">
        <v>3</v>
      </c>
    </row>
    <row r="89" spans="1:10" x14ac:dyDescent="0.25">
      <c r="A89" s="2">
        <v>3</v>
      </c>
      <c r="B89" s="2">
        <v>3</v>
      </c>
      <c r="C89" s="2">
        <v>3</v>
      </c>
      <c r="H89" s="2">
        <v>3</v>
      </c>
      <c r="I89" s="2">
        <v>3</v>
      </c>
      <c r="J89" s="2">
        <v>3</v>
      </c>
    </row>
    <row r="90" spans="1:10" x14ac:dyDescent="0.25">
      <c r="A90" s="2">
        <v>3</v>
      </c>
      <c r="B90" s="2">
        <v>2</v>
      </c>
      <c r="C90" s="2">
        <v>3</v>
      </c>
      <c r="H90" s="2">
        <v>3</v>
      </c>
      <c r="I90" s="2">
        <v>3</v>
      </c>
      <c r="J90" s="2">
        <v>4</v>
      </c>
    </row>
    <row r="91" spans="1:10" x14ac:dyDescent="0.25">
      <c r="A91" s="2">
        <v>2</v>
      </c>
      <c r="B91" s="2">
        <v>2</v>
      </c>
      <c r="C91" s="2">
        <v>5</v>
      </c>
      <c r="H91" s="2">
        <v>2</v>
      </c>
      <c r="I91" s="2">
        <v>3</v>
      </c>
      <c r="J91" s="2">
        <v>4</v>
      </c>
    </row>
    <row r="92" spans="1:10" x14ac:dyDescent="0.25">
      <c r="A92" s="2">
        <v>1</v>
      </c>
      <c r="B92" s="2">
        <v>1</v>
      </c>
      <c r="C92" s="2">
        <v>5</v>
      </c>
      <c r="H92" s="2">
        <v>3</v>
      </c>
      <c r="I92" s="2">
        <v>2</v>
      </c>
      <c r="J92" s="2">
        <v>4</v>
      </c>
    </row>
    <row r="93" spans="1:10" x14ac:dyDescent="0.25">
      <c r="A93" s="2">
        <v>3</v>
      </c>
      <c r="B93" s="2">
        <v>1</v>
      </c>
      <c r="C93" s="2">
        <v>6</v>
      </c>
      <c r="H93" s="2">
        <v>5</v>
      </c>
      <c r="I93" s="2">
        <v>3</v>
      </c>
      <c r="J93" s="2">
        <v>3</v>
      </c>
    </row>
    <row r="94" spans="1:10" x14ac:dyDescent="0.25">
      <c r="A94" s="2">
        <v>2</v>
      </c>
      <c r="B94" s="2">
        <v>3</v>
      </c>
      <c r="C94" s="2">
        <v>4</v>
      </c>
      <c r="H94" s="2">
        <v>4</v>
      </c>
      <c r="I94" s="2">
        <v>5</v>
      </c>
      <c r="J94" s="2">
        <v>3</v>
      </c>
    </row>
    <row r="95" spans="1:10" x14ac:dyDescent="0.25">
      <c r="A95" s="2">
        <v>3</v>
      </c>
      <c r="B95" s="2">
        <v>3</v>
      </c>
      <c r="C95" s="2">
        <v>2</v>
      </c>
    </row>
    <row r="96" spans="1:10" x14ac:dyDescent="0.25">
      <c r="A96" s="2">
        <v>4</v>
      </c>
      <c r="B96" s="2">
        <v>3</v>
      </c>
      <c r="C96" s="2">
        <v>3</v>
      </c>
      <c r="H96" s="2">
        <v>5</v>
      </c>
      <c r="I96" s="2">
        <v>3</v>
      </c>
      <c r="J96" s="2">
        <v>2</v>
      </c>
    </row>
    <row r="97" spans="1:10" x14ac:dyDescent="0.25">
      <c r="A97" s="2">
        <v>2</v>
      </c>
      <c r="B97" s="2">
        <v>1</v>
      </c>
      <c r="C97" s="2">
        <v>5</v>
      </c>
      <c r="H97" s="2">
        <v>3</v>
      </c>
      <c r="I97" s="2">
        <v>3</v>
      </c>
      <c r="J97" s="2">
        <v>3</v>
      </c>
    </row>
    <row r="98" spans="1:10" x14ac:dyDescent="0.25">
      <c r="A98" s="2">
        <v>2</v>
      </c>
      <c r="B98" s="2">
        <v>2</v>
      </c>
      <c r="C98" s="2">
        <v>3</v>
      </c>
      <c r="H98" s="2">
        <v>3</v>
      </c>
      <c r="I98" s="2">
        <v>2</v>
      </c>
      <c r="J98" s="2">
        <v>5</v>
      </c>
    </row>
    <row r="99" spans="1:10" x14ac:dyDescent="0.25">
      <c r="A99" s="2">
        <v>2</v>
      </c>
      <c r="B99" s="2">
        <v>2</v>
      </c>
      <c r="C99" s="2">
        <v>4</v>
      </c>
      <c r="H99" s="2">
        <v>4</v>
      </c>
      <c r="I99" s="2">
        <v>3</v>
      </c>
      <c r="J99" s="2">
        <v>3</v>
      </c>
    </row>
    <row r="100" spans="1:10" x14ac:dyDescent="0.25">
      <c r="A100" s="2">
        <v>4</v>
      </c>
      <c r="B100" s="2">
        <v>1</v>
      </c>
      <c r="C100" s="2">
        <v>3</v>
      </c>
      <c r="H100" s="2">
        <v>2</v>
      </c>
      <c r="I100" s="2">
        <v>1</v>
      </c>
      <c r="J100" s="2">
        <v>2</v>
      </c>
    </row>
    <row r="101" spans="1:10" x14ac:dyDescent="0.25">
      <c r="H101" s="2">
        <v>4</v>
      </c>
      <c r="I101" s="2">
        <v>4</v>
      </c>
      <c r="J101" s="2">
        <v>3</v>
      </c>
    </row>
    <row r="102" spans="1:10" x14ac:dyDescent="0.25">
      <c r="A102" s="2">
        <v>1</v>
      </c>
      <c r="B102" s="2">
        <v>1</v>
      </c>
      <c r="C102" s="2">
        <v>6</v>
      </c>
      <c r="H102" s="2">
        <v>5</v>
      </c>
      <c r="I102" s="2">
        <v>1</v>
      </c>
      <c r="J102" s="2">
        <v>3</v>
      </c>
    </row>
    <row r="103" spans="1:10" x14ac:dyDescent="0.25">
      <c r="A103" s="2">
        <v>2</v>
      </c>
      <c r="B103" s="2">
        <v>2</v>
      </c>
      <c r="C103" s="2">
        <v>5</v>
      </c>
      <c r="H103" s="2">
        <v>2</v>
      </c>
      <c r="I103" s="2">
        <v>3</v>
      </c>
      <c r="J103" s="2">
        <v>5</v>
      </c>
    </row>
    <row r="104" spans="1:10" x14ac:dyDescent="0.25">
      <c r="A104" s="2">
        <v>1</v>
      </c>
      <c r="B104" s="2">
        <v>2</v>
      </c>
      <c r="C104" s="2">
        <v>5</v>
      </c>
      <c r="H104" s="2">
        <v>1</v>
      </c>
      <c r="I104" s="2">
        <v>2</v>
      </c>
      <c r="J104" s="2">
        <v>5</v>
      </c>
    </row>
    <row r="105" spans="1:10" x14ac:dyDescent="0.25">
      <c r="A105" s="2">
        <v>3</v>
      </c>
      <c r="B105" s="2">
        <v>3</v>
      </c>
      <c r="C105" s="2">
        <v>2</v>
      </c>
      <c r="H105" s="2">
        <v>3</v>
      </c>
      <c r="I105" s="2">
        <v>3</v>
      </c>
      <c r="J105" s="2">
        <v>3</v>
      </c>
    </row>
    <row r="106" spans="1:10" x14ac:dyDescent="0.25">
      <c r="A106" s="2">
        <v>2</v>
      </c>
      <c r="B106" s="2">
        <v>2</v>
      </c>
      <c r="C106" s="2">
        <v>5</v>
      </c>
      <c r="H106" s="2">
        <v>3</v>
      </c>
      <c r="I106" s="2">
        <v>3</v>
      </c>
      <c r="J106" s="2">
        <v>4</v>
      </c>
    </row>
    <row r="107" spans="1:10" x14ac:dyDescent="0.25">
      <c r="A107" s="2">
        <v>3</v>
      </c>
      <c r="B107" s="2">
        <v>2</v>
      </c>
      <c r="C107" s="2">
        <v>2</v>
      </c>
      <c r="H107" s="2">
        <v>2</v>
      </c>
      <c r="I107" s="2">
        <v>2</v>
      </c>
      <c r="J107" s="2">
        <v>2</v>
      </c>
    </row>
    <row r="108" spans="1:10" x14ac:dyDescent="0.25">
      <c r="A108" s="2">
        <v>2</v>
      </c>
      <c r="B108" s="2">
        <v>2</v>
      </c>
      <c r="C108" s="2">
        <v>3</v>
      </c>
      <c r="H108" s="2">
        <v>2</v>
      </c>
      <c r="I108" s="2">
        <v>3</v>
      </c>
      <c r="J108" s="2">
        <v>5</v>
      </c>
    </row>
    <row r="109" spans="1:10" x14ac:dyDescent="0.25">
      <c r="A109" s="2">
        <v>3</v>
      </c>
      <c r="B109" s="2">
        <v>5</v>
      </c>
      <c r="C109" s="2">
        <v>3</v>
      </c>
      <c r="H109" s="2">
        <v>3</v>
      </c>
      <c r="I109" s="2">
        <v>2</v>
      </c>
      <c r="J109" s="2">
        <v>3</v>
      </c>
    </row>
    <row r="110" spans="1:10" x14ac:dyDescent="0.25">
      <c r="A110" s="2">
        <v>2</v>
      </c>
      <c r="B110" s="2">
        <v>2</v>
      </c>
      <c r="C110" s="2">
        <v>1</v>
      </c>
      <c r="H110" s="2">
        <v>3</v>
      </c>
      <c r="I110" s="2">
        <v>2</v>
      </c>
      <c r="J110" s="2">
        <v>3</v>
      </c>
    </row>
    <row r="111" spans="1:10" x14ac:dyDescent="0.25">
      <c r="A111" s="2">
        <v>4</v>
      </c>
      <c r="B111" s="2">
        <v>3</v>
      </c>
      <c r="C111" s="2">
        <v>3</v>
      </c>
      <c r="H111" s="2">
        <v>4</v>
      </c>
      <c r="I111" s="2">
        <v>3</v>
      </c>
      <c r="J111" s="2">
        <v>2</v>
      </c>
    </row>
    <row r="112" spans="1:10" x14ac:dyDescent="0.25">
      <c r="A112" s="2">
        <v>3</v>
      </c>
      <c r="B112" s="2">
        <v>1</v>
      </c>
      <c r="C112" s="2">
        <v>5</v>
      </c>
      <c r="H112" s="2">
        <v>4</v>
      </c>
      <c r="I112" s="2">
        <v>1</v>
      </c>
      <c r="J112" s="2">
        <v>2</v>
      </c>
    </row>
    <row r="113" spans="1:10" x14ac:dyDescent="0.25">
      <c r="A113" s="2">
        <v>2</v>
      </c>
      <c r="B113" s="2">
        <v>2</v>
      </c>
      <c r="C113" s="2">
        <v>5</v>
      </c>
      <c r="H113" s="2">
        <v>2</v>
      </c>
      <c r="I113" s="2">
        <v>4</v>
      </c>
      <c r="J113" s="2">
        <v>3</v>
      </c>
    </row>
    <row r="114" spans="1:10" x14ac:dyDescent="0.25">
      <c r="A114" s="2">
        <v>3</v>
      </c>
      <c r="B114" s="2">
        <v>4</v>
      </c>
      <c r="C114" s="2">
        <v>2</v>
      </c>
    </row>
    <row r="115" spans="1:10" x14ac:dyDescent="0.25">
      <c r="A115" s="2">
        <v>2</v>
      </c>
      <c r="B115" s="2">
        <v>3</v>
      </c>
      <c r="C115" s="2">
        <v>4</v>
      </c>
    </row>
    <row r="116" spans="1:10" x14ac:dyDescent="0.25">
      <c r="A116" s="2">
        <v>2</v>
      </c>
      <c r="B116" s="2">
        <v>1</v>
      </c>
      <c r="C116" s="2">
        <v>2</v>
      </c>
      <c r="H116" s="2">
        <v>1</v>
      </c>
      <c r="I116" s="2">
        <v>2</v>
      </c>
      <c r="J116" s="2">
        <v>5</v>
      </c>
    </row>
    <row r="117" spans="1:10" x14ac:dyDescent="0.25">
      <c r="A117" s="2">
        <v>1</v>
      </c>
      <c r="B117" s="2">
        <v>1</v>
      </c>
      <c r="C117" s="2">
        <v>6</v>
      </c>
      <c r="H117" s="2">
        <v>1</v>
      </c>
      <c r="I117" s="2">
        <v>1</v>
      </c>
      <c r="J117" s="2">
        <v>6</v>
      </c>
    </row>
    <row r="118" spans="1:10" x14ac:dyDescent="0.25">
      <c r="A118" s="2">
        <v>2</v>
      </c>
      <c r="B118" s="2">
        <v>2</v>
      </c>
      <c r="C118" s="2">
        <v>2</v>
      </c>
      <c r="H118" s="2">
        <v>3</v>
      </c>
      <c r="I118" s="2">
        <v>3</v>
      </c>
      <c r="J118" s="2">
        <v>2</v>
      </c>
    </row>
    <row r="119" spans="1:10" x14ac:dyDescent="0.25">
      <c r="A119" s="2">
        <v>2</v>
      </c>
      <c r="B119" s="2">
        <v>2</v>
      </c>
      <c r="C119" s="2">
        <v>5</v>
      </c>
      <c r="H119" s="2">
        <v>1</v>
      </c>
      <c r="I119" s="2">
        <v>2</v>
      </c>
      <c r="J119" s="2">
        <v>3</v>
      </c>
    </row>
    <row r="120" spans="1:10" x14ac:dyDescent="0.25">
      <c r="A120" s="2">
        <v>2</v>
      </c>
      <c r="B120" s="2">
        <v>1</v>
      </c>
      <c r="C120" s="2">
        <v>5</v>
      </c>
      <c r="H120" s="2">
        <v>2</v>
      </c>
      <c r="I120" s="2">
        <v>1</v>
      </c>
      <c r="J120" s="2">
        <v>6</v>
      </c>
    </row>
    <row r="121" spans="1:10" x14ac:dyDescent="0.25">
      <c r="A121" s="2">
        <v>3</v>
      </c>
      <c r="B121" s="2">
        <v>2</v>
      </c>
      <c r="C121" s="2">
        <v>4</v>
      </c>
      <c r="H121" s="2">
        <v>4</v>
      </c>
      <c r="I121" s="2">
        <v>2</v>
      </c>
      <c r="J121" s="2">
        <v>3</v>
      </c>
    </row>
    <row r="122" spans="1:10" x14ac:dyDescent="0.25">
      <c r="A122" s="2">
        <v>2</v>
      </c>
      <c r="B122" s="2">
        <v>1</v>
      </c>
      <c r="C122" s="2">
        <v>2</v>
      </c>
      <c r="H122" s="2">
        <v>2</v>
      </c>
      <c r="I122" s="2">
        <v>1</v>
      </c>
      <c r="J122" s="2">
        <v>5</v>
      </c>
    </row>
    <row r="123" spans="1:10" x14ac:dyDescent="0.25">
      <c r="A123" s="2">
        <v>4</v>
      </c>
      <c r="B123" s="2">
        <v>3</v>
      </c>
      <c r="C123" s="2">
        <v>2</v>
      </c>
      <c r="H123" s="2">
        <v>5</v>
      </c>
      <c r="I123" s="2">
        <v>2</v>
      </c>
      <c r="J123" s="2">
        <v>3</v>
      </c>
    </row>
    <row r="124" spans="1:10" x14ac:dyDescent="0.25">
      <c r="A124" s="2">
        <v>3</v>
      </c>
      <c r="B124" s="2">
        <v>1</v>
      </c>
      <c r="C124" s="2">
        <v>3</v>
      </c>
      <c r="H124" s="2">
        <v>3</v>
      </c>
      <c r="I124" s="2">
        <v>2</v>
      </c>
      <c r="J124" s="2">
        <v>2</v>
      </c>
    </row>
    <row r="125" spans="1:10" x14ac:dyDescent="0.25">
      <c r="A125" s="2">
        <v>2</v>
      </c>
      <c r="B125" s="2">
        <v>2</v>
      </c>
      <c r="C125" s="2">
        <v>4</v>
      </c>
      <c r="H125" s="2">
        <v>1</v>
      </c>
      <c r="I125" s="2">
        <v>1</v>
      </c>
      <c r="J125" s="2">
        <v>5</v>
      </c>
    </row>
    <row r="126" spans="1:10" x14ac:dyDescent="0.25">
      <c r="A126" s="2">
        <v>3</v>
      </c>
      <c r="B126" s="2">
        <v>5</v>
      </c>
      <c r="C126" s="2">
        <v>3</v>
      </c>
      <c r="H126" s="2">
        <v>2</v>
      </c>
      <c r="I126" s="2">
        <v>3</v>
      </c>
      <c r="J126" s="2">
        <v>4</v>
      </c>
    </row>
    <row r="127" spans="1:10" x14ac:dyDescent="0.25">
      <c r="A127" s="2">
        <v>2</v>
      </c>
      <c r="B127" s="2">
        <v>3</v>
      </c>
      <c r="C127" s="2">
        <v>5</v>
      </c>
    </row>
    <row r="128" spans="1:10" x14ac:dyDescent="0.25">
      <c r="A128" s="2">
        <v>2</v>
      </c>
      <c r="B128" s="2">
        <v>1</v>
      </c>
      <c r="C128" s="2">
        <v>5</v>
      </c>
      <c r="H128" s="2">
        <v>2</v>
      </c>
      <c r="I128" s="2">
        <v>2</v>
      </c>
      <c r="J128" s="2">
        <v>5</v>
      </c>
    </row>
    <row r="129" spans="1:10" x14ac:dyDescent="0.25">
      <c r="A129" s="2">
        <v>3</v>
      </c>
      <c r="B129" s="2">
        <v>2</v>
      </c>
      <c r="C129" s="2">
        <v>3</v>
      </c>
      <c r="H129" s="2">
        <v>6</v>
      </c>
      <c r="I129" s="2">
        <v>6</v>
      </c>
      <c r="J129" s="2">
        <v>2</v>
      </c>
    </row>
    <row r="130" spans="1:10" x14ac:dyDescent="0.25">
      <c r="A130" s="2">
        <v>2</v>
      </c>
      <c r="B130" s="2">
        <v>2</v>
      </c>
      <c r="C130" s="2">
        <v>4</v>
      </c>
      <c r="H130" s="2">
        <v>2</v>
      </c>
      <c r="I130" s="2">
        <v>1</v>
      </c>
      <c r="J130" s="2">
        <v>5</v>
      </c>
    </row>
    <row r="131" spans="1:10" x14ac:dyDescent="0.25">
      <c r="A131" s="2">
        <v>5</v>
      </c>
      <c r="B131" s="2">
        <v>6</v>
      </c>
      <c r="C131" s="2">
        <v>2</v>
      </c>
    </row>
    <row r="132" spans="1:10" x14ac:dyDescent="0.25">
      <c r="A132" s="2">
        <v>2</v>
      </c>
      <c r="B132" s="2">
        <v>2</v>
      </c>
      <c r="C132" s="2">
        <v>2</v>
      </c>
      <c r="H132" s="2">
        <v>2</v>
      </c>
      <c r="I132" s="2">
        <v>1</v>
      </c>
      <c r="J132" s="2">
        <v>5</v>
      </c>
    </row>
    <row r="133" spans="1:10" x14ac:dyDescent="0.25">
      <c r="A133" s="2">
        <v>5</v>
      </c>
      <c r="B133" s="2">
        <v>2</v>
      </c>
      <c r="C133" s="2">
        <v>3</v>
      </c>
      <c r="H133" s="2">
        <v>3</v>
      </c>
      <c r="I133" s="2">
        <v>3</v>
      </c>
      <c r="J133" s="2">
        <v>3</v>
      </c>
    </row>
    <row r="134" spans="1:10" x14ac:dyDescent="0.25">
      <c r="A134" s="2">
        <v>3</v>
      </c>
      <c r="B134" s="2">
        <v>2</v>
      </c>
      <c r="C134" s="2">
        <v>4</v>
      </c>
      <c r="H134" s="2">
        <v>2</v>
      </c>
      <c r="I134" s="2">
        <v>1</v>
      </c>
      <c r="J134" s="2">
        <v>5</v>
      </c>
    </row>
    <row r="135" spans="1:10" x14ac:dyDescent="0.25">
      <c r="A135" s="2">
        <v>2</v>
      </c>
      <c r="B135" s="2">
        <v>1</v>
      </c>
      <c r="C135" s="2">
        <v>4</v>
      </c>
      <c r="H135" s="2">
        <v>2</v>
      </c>
      <c r="I135" s="2">
        <v>3</v>
      </c>
      <c r="J135" s="2">
        <v>4</v>
      </c>
    </row>
    <row r="136" spans="1:10" x14ac:dyDescent="0.25">
      <c r="A136" s="2">
        <v>2</v>
      </c>
      <c r="B136" s="2">
        <v>1</v>
      </c>
      <c r="C136" s="2">
        <v>5</v>
      </c>
      <c r="H136" s="2">
        <v>3</v>
      </c>
      <c r="I136" s="2">
        <v>5</v>
      </c>
      <c r="J136" s="2">
        <v>2</v>
      </c>
    </row>
    <row r="137" spans="1:10" x14ac:dyDescent="0.25">
      <c r="A137" s="2">
        <v>2</v>
      </c>
      <c r="B137" s="2">
        <v>1</v>
      </c>
      <c r="C137" s="2">
        <v>6</v>
      </c>
      <c r="H137" s="2">
        <v>1</v>
      </c>
      <c r="I137" s="2">
        <v>2</v>
      </c>
      <c r="J137" s="2">
        <v>4</v>
      </c>
    </row>
    <row r="138" spans="1:10" x14ac:dyDescent="0.25">
      <c r="A138" s="2">
        <v>2</v>
      </c>
      <c r="B138" s="2">
        <v>1</v>
      </c>
      <c r="C138" s="2">
        <v>5</v>
      </c>
      <c r="H138" s="2">
        <v>2</v>
      </c>
      <c r="I138" s="2">
        <v>1</v>
      </c>
      <c r="J138" s="2">
        <v>6</v>
      </c>
    </row>
    <row r="139" spans="1:10" x14ac:dyDescent="0.25">
      <c r="A139" s="2">
        <v>3</v>
      </c>
      <c r="B139" s="2">
        <v>2</v>
      </c>
      <c r="C139" s="2">
        <v>3</v>
      </c>
      <c r="H139" s="2">
        <v>3</v>
      </c>
      <c r="I139" s="2">
        <v>3</v>
      </c>
      <c r="J139" s="2">
        <v>3</v>
      </c>
    </row>
    <row r="140" spans="1:10" x14ac:dyDescent="0.25">
      <c r="A140" s="2">
        <v>3</v>
      </c>
      <c r="B140" s="2">
        <v>2</v>
      </c>
      <c r="C140" s="2">
        <v>3</v>
      </c>
      <c r="H140" s="2">
        <v>3</v>
      </c>
      <c r="I140" s="2">
        <v>1</v>
      </c>
      <c r="J140" s="2">
        <v>3</v>
      </c>
    </row>
    <row r="141" spans="1:10" x14ac:dyDescent="0.25">
      <c r="A141" s="2">
        <v>3</v>
      </c>
      <c r="B141" s="2">
        <v>3</v>
      </c>
      <c r="C141" s="2">
        <v>4</v>
      </c>
      <c r="H141" s="2">
        <v>2</v>
      </c>
      <c r="I141" s="2">
        <v>2</v>
      </c>
      <c r="J141" s="2">
        <v>4</v>
      </c>
    </row>
    <row r="142" spans="1:10" x14ac:dyDescent="0.25">
      <c r="A142" s="2">
        <v>3</v>
      </c>
      <c r="B142" s="2">
        <v>1</v>
      </c>
      <c r="C142" s="2">
        <v>4</v>
      </c>
    </row>
    <row r="143" spans="1:10" x14ac:dyDescent="0.25">
      <c r="A143" s="2">
        <v>4</v>
      </c>
      <c r="B143" s="2">
        <v>1</v>
      </c>
      <c r="C143" s="2">
        <v>2</v>
      </c>
      <c r="H143" s="2">
        <v>2</v>
      </c>
      <c r="I143" s="2">
        <v>1</v>
      </c>
      <c r="J143" s="2">
        <v>5</v>
      </c>
    </row>
    <row r="144" spans="1:10" x14ac:dyDescent="0.25">
      <c r="A144" s="2">
        <v>3</v>
      </c>
      <c r="B144" s="2">
        <v>3</v>
      </c>
      <c r="C144" s="2">
        <v>5</v>
      </c>
      <c r="H144" s="2">
        <v>3</v>
      </c>
      <c r="I144" s="2">
        <v>3</v>
      </c>
      <c r="J144" s="2">
        <v>3</v>
      </c>
    </row>
    <row r="145" spans="1:10" x14ac:dyDescent="0.25">
      <c r="A145" s="2">
        <v>1</v>
      </c>
      <c r="B145" s="2">
        <v>2</v>
      </c>
      <c r="C145" s="2">
        <v>5</v>
      </c>
      <c r="H145" s="2">
        <v>1</v>
      </c>
      <c r="I145" s="2">
        <v>2</v>
      </c>
      <c r="J145" s="2">
        <v>5</v>
      </c>
    </row>
    <row r="146" spans="1:10" x14ac:dyDescent="0.25">
      <c r="A146" s="2">
        <v>1</v>
      </c>
      <c r="B146" s="2">
        <v>1</v>
      </c>
      <c r="C146" s="2">
        <v>3</v>
      </c>
      <c r="H146" s="2">
        <v>1</v>
      </c>
      <c r="I146" s="2">
        <v>2</v>
      </c>
      <c r="J146" s="2">
        <v>5</v>
      </c>
    </row>
    <row r="147" spans="1:10" x14ac:dyDescent="0.25">
      <c r="A147" s="2">
        <v>3</v>
      </c>
      <c r="B147" s="2">
        <v>2</v>
      </c>
      <c r="C147" s="2">
        <v>5</v>
      </c>
      <c r="H147" s="2">
        <v>2</v>
      </c>
      <c r="I147" s="2">
        <v>1</v>
      </c>
      <c r="J147" s="2">
        <v>5</v>
      </c>
    </row>
    <row r="148" spans="1:10" x14ac:dyDescent="0.25">
      <c r="A148" s="2">
        <v>2</v>
      </c>
      <c r="B148" s="2">
        <v>3</v>
      </c>
      <c r="C148" s="2">
        <v>2</v>
      </c>
      <c r="H148" s="2">
        <v>2</v>
      </c>
      <c r="I148" s="2">
        <v>3</v>
      </c>
      <c r="J148" s="2">
        <v>3</v>
      </c>
    </row>
    <row r="149" spans="1:10" x14ac:dyDescent="0.25">
      <c r="A149" s="2">
        <v>1</v>
      </c>
      <c r="B149" s="2">
        <v>1</v>
      </c>
      <c r="C149" s="2">
        <v>6</v>
      </c>
      <c r="H149" s="2">
        <v>3</v>
      </c>
      <c r="I149" s="2">
        <v>2</v>
      </c>
      <c r="J149" s="2">
        <v>6</v>
      </c>
    </row>
    <row r="150" spans="1:10" x14ac:dyDescent="0.25">
      <c r="A150" s="2">
        <v>2</v>
      </c>
      <c r="B150" s="2">
        <v>3</v>
      </c>
      <c r="C150" s="2">
        <v>2</v>
      </c>
      <c r="H150" s="2">
        <v>2</v>
      </c>
      <c r="I150" s="2">
        <v>1</v>
      </c>
      <c r="J150" s="2">
        <v>4</v>
      </c>
    </row>
    <row r="151" spans="1:10" x14ac:dyDescent="0.25">
      <c r="A151" s="2">
        <v>5</v>
      </c>
      <c r="B151" s="2">
        <v>2</v>
      </c>
      <c r="C151" s="2">
        <v>3</v>
      </c>
      <c r="H151" s="2">
        <v>3</v>
      </c>
      <c r="I151" s="2">
        <v>1</v>
      </c>
      <c r="J151" s="2">
        <v>4</v>
      </c>
    </row>
    <row r="152" spans="1:10" x14ac:dyDescent="0.25">
      <c r="A152" s="2">
        <v>2</v>
      </c>
      <c r="B152" s="2">
        <v>2</v>
      </c>
      <c r="C152" s="2">
        <v>5</v>
      </c>
      <c r="H152" s="2">
        <v>2</v>
      </c>
      <c r="I152" s="2">
        <v>3</v>
      </c>
      <c r="J152" s="2">
        <v>3</v>
      </c>
    </row>
    <row r="153" spans="1:10" x14ac:dyDescent="0.25">
      <c r="A153" s="2">
        <v>4</v>
      </c>
      <c r="B153" s="2">
        <v>3</v>
      </c>
      <c r="C153" s="2">
        <v>3</v>
      </c>
      <c r="H153" s="2">
        <v>4</v>
      </c>
      <c r="I153" s="2">
        <v>3</v>
      </c>
      <c r="J153" s="2">
        <v>2</v>
      </c>
    </row>
    <row r="154" spans="1:10" x14ac:dyDescent="0.25">
      <c r="A154" s="2">
        <v>3</v>
      </c>
      <c r="B154" s="2">
        <v>2</v>
      </c>
      <c r="C154" s="2">
        <v>3</v>
      </c>
    </row>
    <row r="155" spans="1:10" x14ac:dyDescent="0.25">
      <c r="A155" s="2">
        <v>1</v>
      </c>
      <c r="B155" s="2">
        <v>1</v>
      </c>
      <c r="C155" s="2">
        <v>6</v>
      </c>
      <c r="H155" s="2">
        <v>1</v>
      </c>
      <c r="I155" s="2">
        <v>1</v>
      </c>
      <c r="J155" s="2">
        <v>2</v>
      </c>
    </row>
    <row r="156" spans="1:10" x14ac:dyDescent="0.25">
      <c r="H156" s="2">
        <v>3</v>
      </c>
      <c r="I156" s="2">
        <v>2</v>
      </c>
      <c r="J156" s="2">
        <v>5</v>
      </c>
    </row>
    <row r="157" spans="1:10" x14ac:dyDescent="0.25">
      <c r="A157" s="2">
        <v>1</v>
      </c>
      <c r="B157" s="2">
        <v>1</v>
      </c>
      <c r="C157" s="2">
        <v>4</v>
      </c>
      <c r="H157" s="2">
        <v>1</v>
      </c>
      <c r="I157" s="2">
        <v>1</v>
      </c>
      <c r="J157" s="2">
        <v>5</v>
      </c>
    </row>
    <row r="158" spans="1:10" x14ac:dyDescent="0.25">
      <c r="A158" s="2">
        <v>3</v>
      </c>
      <c r="B158" s="2">
        <v>4</v>
      </c>
      <c r="C158" s="2">
        <v>3</v>
      </c>
      <c r="H158" s="2">
        <v>2</v>
      </c>
      <c r="I158" s="2">
        <v>2</v>
      </c>
      <c r="J158" s="2">
        <v>3</v>
      </c>
    </row>
    <row r="159" spans="1:10" x14ac:dyDescent="0.25">
      <c r="A159" s="2">
        <v>2</v>
      </c>
      <c r="B159" s="2">
        <v>2</v>
      </c>
      <c r="C159" s="2">
        <v>2</v>
      </c>
      <c r="H159" s="2">
        <v>3</v>
      </c>
      <c r="I159" s="2">
        <v>2</v>
      </c>
      <c r="J159" s="2">
        <v>3</v>
      </c>
    </row>
    <row r="160" spans="1:10" x14ac:dyDescent="0.25">
      <c r="A160" s="2">
        <v>2</v>
      </c>
      <c r="B160" s="2">
        <v>2</v>
      </c>
      <c r="C160" s="2">
        <v>5</v>
      </c>
      <c r="H160" s="2">
        <v>3</v>
      </c>
      <c r="I160" s="2">
        <v>2</v>
      </c>
      <c r="J160" s="2">
        <v>3</v>
      </c>
    </row>
    <row r="161" spans="1:10" x14ac:dyDescent="0.25">
      <c r="A161" s="2">
        <v>3</v>
      </c>
      <c r="B161" s="2">
        <v>1</v>
      </c>
      <c r="C161" s="2">
        <v>5</v>
      </c>
    </row>
    <row r="162" spans="1:10" x14ac:dyDescent="0.25">
      <c r="A162" s="2">
        <v>3</v>
      </c>
      <c r="B162" s="2">
        <v>3</v>
      </c>
      <c r="C162" s="2">
        <v>3</v>
      </c>
      <c r="H162" s="2">
        <v>2</v>
      </c>
      <c r="I162" s="2">
        <v>4</v>
      </c>
      <c r="J162" s="2">
        <v>2</v>
      </c>
    </row>
    <row r="163" spans="1:10" x14ac:dyDescent="0.25">
      <c r="A163" s="2">
        <v>2</v>
      </c>
      <c r="B163" s="2">
        <v>3</v>
      </c>
      <c r="C163" s="2">
        <v>2</v>
      </c>
      <c r="H163" s="2">
        <v>4</v>
      </c>
      <c r="I163" s="2">
        <v>4</v>
      </c>
      <c r="J163" s="2">
        <v>2</v>
      </c>
    </row>
    <row r="164" spans="1:10" x14ac:dyDescent="0.25">
      <c r="A164" s="2">
        <v>2</v>
      </c>
      <c r="B164" s="2">
        <v>1</v>
      </c>
      <c r="C164" s="2">
        <v>5</v>
      </c>
    </row>
    <row r="165" spans="1:10" x14ac:dyDescent="0.25">
      <c r="A165" s="2">
        <v>2</v>
      </c>
      <c r="B165" s="2">
        <v>1</v>
      </c>
      <c r="C165" s="2">
        <v>4</v>
      </c>
      <c r="H165" s="2">
        <v>2</v>
      </c>
      <c r="I165" s="2">
        <v>3</v>
      </c>
      <c r="J165" s="2">
        <v>4</v>
      </c>
    </row>
    <row r="166" spans="1:10" x14ac:dyDescent="0.25">
      <c r="A166" s="2">
        <v>3</v>
      </c>
      <c r="B166" s="2">
        <v>2</v>
      </c>
      <c r="C166" s="2">
        <v>3</v>
      </c>
      <c r="H166" s="2">
        <v>2</v>
      </c>
      <c r="I166" s="2">
        <v>2</v>
      </c>
      <c r="J166" s="2">
        <v>4</v>
      </c>
    </row>
    <row r="167" spans="1:10" x14ac:dyDescent="0.25">
      <c r="A167" s="2">
        <v>3</v>
      </c>
      <c r="B167" s="2">
        <v>2</v>
      </c>
      <c r="C167" s="2">
        <v>3</v>
      </c>
      <c r="H167" s="2">
        <v>3</v>
      </c>
      <c r="I167" s="2">
        <v>3</v>
      </c>
      <c r="J167" s="2">
        <v>4</v>
      </c>
    </row>
    <row r="168" spans="1:10" x14ac:dyDescent="0.25">
      <c r="A168" s="2">
        <v>2</v>
      </c>
      <c r="B168" s="2">
        <v>2</v>
      </c>
      <c r="C168" s="2">
        <v>4</v>
      </c>
      <c r="H168" s="2">
        <v>3</v>
      </c>
      <c r="I168" s="2">
        <v>2</v>
      </c>
      <c r="J168" s="2">
        <v>4</v>
      </c>
    </row>
    <row r="169" spans="1:10" x14ac:dyDescent="0.25">
      <c r="A169" s="2">
        <v>2</v>
      </c>
      <c r="B169" s="2">
        <v>3</v>
      </c>
      <c r="C169" s="2">
        <v>3</v>
      </c>
      <c r="H169" s="2">
        <v>2</v>
      </c>
      <c r="I169" s="2">
        <v>1</v>
      </c>
      <c r="J169" s="2">
        <v>4</v>
      </c>
    </row>
    <row r="171" spans="1:10" x14ac:dyDescent="0.25">
      <c r="A171" s="2">
        <f>COUNTIF(A2:A169,"1")</f>
        <v>33</v>
      </c>
      <c r="B171" s="2">
        <f>COUNTIF(B2:B169,"1")</f>
        <v>53</v>
      </c>
      <c r="C171" s="2">
        <f>COUNTIF(C2:C169,"1")</f>
        <v>2</v>
      </c>
      <c r="D171" t="s">
        <v>624</v>
      </c>
      <c r="H171" s="2">
        <f>COUNTIF(H2:H169,"1")</f>
        <v>20</v>
      </c>
      <c r="I171" s="2">
        <f>COUNTIF(I2:I169,"1")</f>
        <v>36</v>
      </c>
      <c r="J171" s="2">
        <f>COUNTIF(J2:J169,"1")</f>
        <v>2</v>
      </c>
    </row>
    <row r="172" spans="1:10" x14ac:dyDescent="0.25">
      <c r="A172" s="2">
        <f>COUNTIF(A2:A169,"7")</f>
        <v>0</v>
      </c>
      <c r="B172" s="2">
        <f>COUNTIF(B2:B169,"7")</f>
        <v>0</v>
      </c>
      <c r="C172" s="2">
        <f>COUNTIF(C2:C169,"7")</f>
        <v>0</v>
      </c>
      <c r="D172" t="s">
        <v>625</v>
      </c>
      <c r="H172" s="2">
        <f>COUNTIF(H2:H169,"7")</f>
        <v>0</v>
      </c>
      <c r="I172" s="2">
        <f>COUNTIF(I2:I169,"7")</f>
        <v>0</v>
      </c>
      <c r="J172" s="2">
        <f>COUNTIF(J2:J169,"7")</f>
        <v>0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DACE-AE71-452C-A849-424AA6381120}">
  <dimension ref="A1:BS169"/>
  <sheetViews>
    <sheetView tabSelected="1" topLeftCell="AW1" zoomScale="80" zoomScaleNormal="80" workbookViewId="0">
      <selection activeCell="BB1" sqref="BB1:BF1048576"/>
    </sheetView>
  </sheetViews>
  <sheetFormatPr defaultColWidth="11" defaultRowHeight="15.75" x14ac:dyDescent="0.25"/>
  <cols>
    <col min="2" max="2" width="15.125" customWidth="1"/>
    <col min="3" max="3" width="20.875" customWidth="1"/>
    <col min="6" max="6" width="19.375" customWidth="1"/>
    <col min="7" max="7" width="8.875" customWidth="1"/>
    <col min="8" max="8" width="9.75" customWidth="1"/>
    <col min="9" max="9" width="8.5" customWidth="1"/>
    <col min="10" max="10" width="9.25" customWidth="1"/>
    <col min="11" max="12" width="8.5" customWidth="1"/>
    <col min="13" max="13" width="7.5" customWidth="1"/>
    <col min="14" max="14" width="8" customWidth="1"/>
    <col min="15" max="15" width="8.875" customWidth="1"/>
    <col min="16" max="16" width="12.25" customWidth="1"/>
    <col min="17" max="17" width="9.75" customWidth="1"/>
    <col min="18" max="18" width="12.125" customWidth="1"/>
    <col min="19" max="19" width="14" customWidth="1"/>
    <col min="20" max="20" width="16.25" customWidth="1"/>
    <col min="21" max="21" width="12.875" customWidth="1"/>
    <col min="22" max="22" width="12.75" customWidth="1"/>
    <col min="23" max="23" width="23.125" customWidth="1"/>
    <col min="24" max="25" width="11.875" customWidth="1"/>
    <col min="26" max="26" width="15.625" customWidth="1"/>
    <col min="27" max="27" width="15.25" customWidth="1"/>
    <col min="28" max="28" width="12.125" customWidth="1"/>
    <col min="29" max="29" width="12.25" customWidth="1"/>
    <col min="30" max="30" width="13.375" customWidth="1"/>
    <col min="31" max="31" width="13.125" customWidth="1"/>
    <col min="32" max="32" width="22.25" customWidth="1"/>
    <col min="33" max="33" width="13.75" customWidth="1"/>
    <col min="34" max="34" width="13.125" customWidth="1"/>
    <col min="35" max="35" width="7.5" customWidth="1"/>
    <col min="36" max="36" width="9.625" customWidth="1"/>
    <col min="37" max="37" width="12.125" customWidth="1"/>
    <col min="38" max="38" width="14.125" style="13" customWidth="1"/>
    <col min="39" max="39" width="10.75" customWidth="1"/>
    <col min="40" max="40" width="12.875" customWidth="1"/>
    <col min="41" max="41" width="8.5" customWidth="1"/>
    <col min="42" max="42" width="9.125" customWidth="1"/>
    <col min="43" max="44" width="9.25" customWidth="1"/>
    <col min="45" max="45" width="10.75" customWidth="1"/>
    <col min="46" max="46" width="11.125" customWidth="1"/>
    <col min="47" max="47" width="12.625" customWidth="1"/>
    <col min="48" max="48" width="12.25" customWidth="1"/>
    <col min="49" max="49" width="10.625" customWidth="1"/>
    <col min="50" max="50" width="15" customWidth="1"/>
    <col min="51" max="51" width="22.125" customWidth="1"/>
    <col min="52" max="52" width="16" customWidth="1"/>
    <col min="54" max="58" width="11" style="14"/>
  </cols>
  <sheetData>
    <row r="1" spans="1:71" x14ac:dyDescent="0.25">
      <c r="A1" t="s">
        <v>623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12" t="s">
        <v>617</v>
      </c>
      <c r="AM1" s="14" t="s">
        <v>618</v>
      </c>
      <c r="AN1" s="14" t="s">
        <v>7</v>
      </c>
      <c r="AO1" s="14" t="s">
        <v>8</v>
      </c>
      <c r="AP1" s="14" t="s">
        <v>9</v>
      </c>
      <c r="AQ1" s="14" t="s">
        <v>10</v>
      </c>
      <c r="AR1" s="14" t="s">
        <v>11</v>
      </c>
      <c r="AS1" s="14" t="s">
        <v>12</v>
      </c>
      <c r="AT1" s="14" t="s">
        <v>13</v>
      </c>
      <c r="AU1" s="14" t="s">
        <v>14</v>
      </c>
      <c r="AV1" s="14" t="s">
        <v>15</v>
      </c>
      <c r="AW1" s="14" t="s">
        <v>16</v>
      </c>
      <c r="AX1" s="14" t="s">
        <v>17</v>
      </c>
      <c r="AY1" s="2" t="s">
        <v>18</v>
      </c>
      <c r="AZ1" s="2" t="s">
        <v>19</v>
      </c>
      <c r="BB1" s="14" t="s">
        <v>619</v>
      </c>
      <c r="BC1" s="14" t="s">
        <v>620</v>
      </c>
      <c r="BE1" s="14" t="s">
        <v>621</v>
      </c>
      <c r="BF1" s="14" t="s">
        <v>622</v>
      </c>
      <c r="BH1" s="2" t="s">
        <v>23</v>
      </c>
      <c r="BI1" s="2" t="s">
        <v>24</v>
      </c>
      <c r="BJ1" s="2" t="s">
        <v>25</v>
      </c>
      <c r="BK1" s="2" t="s">
        <v>26</v>
      </c>
      <c r="BL1" s="2" t="s">
        <v>27</v>
      </c>
      <c r="BM1" s="2" t="s">
        <v>28</v>
      </c>
      <c r="BN1" s="2" t="s">
        <v>29</v>
      </c>
      <c r="BO1" s="2" t="s">
        <v>30</v>
      </c>
      <c r="BP1" s="2" t="s">
        <v>31</v>
      </c>
      <c r="BQ1" s="2" t="s">
        <v>32</v>
      </c>
      <c r="BR1" s="2" t="s">
        <v>33</v>
      </c>
      <c r="BS1" s="2" t="s">
        <v>34</v>
      </c>
    </row>
    <row r="2" spans="1:71" x14ac:dyDescent="0.25">
      <c r="A2">
        <v>1</v>
      </c>
      <c r="B2" t="s">
        <v>39</v>
      </c>
      <c r="C2" t="s">
        <v>40</v>
      </c>
      <c r="D2" s="1" t="d">
        <v>2017-08-20T11:29:48.99999973364174175</v>
      </c>
      <c r="E2" s="1" t="d">
        <v>2017-08-20T12:00:17.000000202096998550</v>
      </c>
      <c r="F2" t="s">
        <v>41</v>
      </c>
      <c r="G2">
        <v>3</v>
      </c>
      <c r="H2">
        <v>2</v>
      </c>
      <c r="I2">
        <v>3</v>
      </c>
      <c r="J2">
        <v>4</v>
      </c>
      <c r="K2">
        <v>4</v>
      </c>
      <c r="L2">
        <v>4</v>
      </c>
      <c r="M2">
        <v>3</v>
      </c>
      <c r="N2">
        <v>3</v>
      </c>
      <c r="O2">
        <v>3</v>
      </c>
      <c r="P2">
        <v>3</v>
      </c>
      <c r="Q2">
        <v>4</v>
      </c>
      <c r="R2">
        <v>3</v>
      </c>
      <c r="S2">
        <v>3</v>
      </c>
      <c r="T2">
        <v>3</v>
      </c>
      <c r="AM2" t="str">
        <f>IF(G2=1,"100",IF(G2=2,"85",IF(G2=3,"60",IF(G2=4,"35","0"))))</f>
        <v>60</v>
      </c>
      <c r="AN2">
        <f>(H2-1)*50</f>
        <v>50</v>
      </c>
      <c r="AO2">
        <f>(I2-1)*50</f>
        <v>100</v>
      </c>
      <c r="AP2" s="15">
        <f>(5-J2)*25</f>
        <v>25</v>
      </c>
      <c r="AQ2" s="15">
        <f>(5-K2)*25</f>
        <v>25</v>
      </c>
      <c r="AR2" s="15">
        <f>(5-L2)*25</f>
        <v>25</v>
      </c>
      <c r="AS2" s="15">
        <f>(5-M2)*25</f>
        <v>50</v>
      </c>
      <c r="AT2">
        <f>(5-N2)*25</f>
        <v>50</v>
      </c>
      <c r="AU2" s="15">
        <f>(6-O2)*20</f>
        <v>60</v>
      </c>
      <c r="AV2" s="15">
        <f>(6-P2)*20</f>
        <v>60</v>
      </c>
      <c r="AW2">
        <f xml:space="preserve"> (Q2-1)*20</f>
        <v>60</v>
      </c>
      <c r="AX2">
        <f>(R2-1)*25</f>
        <v>50</v>
      </c>
      <c r="BB2" s="14">
        <f>(0.0782523751*AM2)+(0.065064013*AN2)+(0.0748361349*AO2)+(0.0716978312*AP2)+(0.0741541386*AQ2)+((-0.057598263)*AR2)+((-0.032268941)*AS2)+(0.1339749098*AT2)+((-0.042411864)*AU2)+(0.0299689621*AV2)+((-0.053362399)*AW2)+(0.0046096779*AX2)+21.046859741</f>
        <v>40.052623337999997</v>
      </c>
      <c r="BC2" s="14">
        <f>(-0.000915925*AM2)+(-0.035498649*AN2)+(-0.03157714*AO2)+(-0.0251735*AP2)+(-0.024652228*AQ2)+(0.1266860962*AR2)+(0.0808723569*AS2)+(-0.024371371*AT2)+(0.1094084978*AU2)+(0.0694271326*AV2)+(0.1493788958*AW2)+(0.1085734367*AX2)+12.66204834</f>
        <v>37.542548297000003</v>
      </c>
      <c r="BK2" s="15"/>
      <c r="BL2" s="15"/>
      <c r="BM2" s="15"/>
      <c r="BN2" s="15"/>
      <c r="BP2" s="15"/>
      <c r="BQ2" s="15"/>
    </row>
    <row r="3" spans="1:71" x14ac:dyDescent="0.25">
      <c r="A3">
        <v>2</v>
      </c>
      <c r="B3" t="s">
        <v>42</v>
      </c>
      <c r="C3" t="s">
        <v>40</v>
      </c>
      <c r="D3" s="1" t="d">
        <v>2017-08-10T12:36:40.00000004656613100</v>
      </c>
      <c r="E3" s="1" t="d">
        <v>2017-08-10T13:20:58.99999989196658175</v>
      </c>
      <c r="F3" t="s">
        <v>43</v>
      </c>
      <c r="G3">
        <v>3</v>
      </c>
      <c r="H3">
        <v>1</v>
      </c>
      <c r="I3">
        <v>1</v>
      </c>
      <c r="J3">
        <v>4</v>
      </c>
      <c r="K3">
        <v>4</v>
      </c>
      <c r="L3">
        <v>4</v>
      </c>
      <c r="M3">
        <v>3</v>
      </c>
      <c r="N3">
        <v>2</v>
      </c>
      <c r="O3">
        <v>2</v>
      </c>
      <c r="P3">
        <v>2</v>
      </c>
      <c r="Q3">
        <v>2</v>
      </c>
      <c r="R3">
        <v>4</v>
      </c>
      <c r="S3">
        <v>5</v>
      </c>
      <c r="T3">
        <v>3</v>
      </c>
      <c r="U3" s="1" t="d">
        <v>2017-12-09T09:57:55.99999972153454850</v>
      </c>
      <c r="V3" s="1" t="d">
        <v>2017-12-09T10:50:41.99999989941716325</v>
      </c>
      <c r="W3" t="s">
        <v>44</v>
      </c>
      <c r="X3">
        <v>3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2</v>
      </c>
      <c r="AF3">
        <v>2</v>
      </c>
      <c r="AG3">
        <v>2</v>
      </c>
      <c r="AH3">
        <v>2</v>
      </c>
      <c r="AI3">
        <v>3</v>
      </c>
      <c r="AJ3">
        <v>4</v>
      </c>
      <c r="AK3">
        <v>3</v>
      </c>
      <c r="AM3" t="str">
        <f t="shared" ref="AM3:AM66" si="0">IF(G3=1,"100",IF(G3=2,"85",IF(G3=3,"60",IF(G3=4,"35","0"))))</f>
        <v>60</v>
      </c>
      <c r="AN3">
        <f t="shared" ref="AN3:AN66" si="1">(H3-1)*50</f>
        <v>0</v>
      </c>
      <c r="AO3">
        <f t="shared" ref="AO3:AO66" si="2">(I3-1)*50</f>
        <v>0</v>
      </c>
      <c r="AP3" s="15">
        <f t="shared" ref="AP3:AP66" si="3">(5-J3)*25</f>
        <v>25</v>
      </c>
      <c r="AQ3" s="15">
        <f t="shared" ref="AQ3:AQ66" si="4">(5-K3)*25</f>
        <v>25</v>
      </c>
      <c r="AR3" s="15">
        <f t="shared" ref="AR3:AR66" si="5">(5-L3)*25</f>
        <v>25</v>
      </c>
      <c r="AS3" s="15">
        <f t="shared" ref="AS3:AS66" si="6">(5-M3)*25</f>
        <v>50</v>
      </c>
      <c r="AT3">
        <f t="shared" ref="AT3:AT66" si="7">(5-N3)*25</f>
        <v>75</v>
      </c>
      <c r="AU3" s="15">
        <f t="shared" ref="AU3:AU66" si="8">(6-O3)*20</f>
        <v>80</v>
      </c>
      <c r="AV3" s="15">
        <f t="shared" ref="AV3:AV66" si="9">(6-P3)*20</f>
        <v>80</v>
      </c>
      <c r="AW3">
        <f t="shared" ref="AW3:AW66" si="10" xml:space="preserve"> (Q3-1)*20</f>
        <v>20</v>
      </c>
      <c r="AX3">
        <f t="shared" ref="AX3:AX66" si="11">(R3-1)*25</f>
        <v>75</v>
      </c>
      <c r="BB3" s="14">
        <f t="shared" ref="BB3:BB66" si="12">(0.0782523751*AM3)+(0.065064013*AN3)+(0.0748361349*AO3)+(0.0716978312*AP3)+(0.0741541386*AQ3)+((-0.057598263)*AR3)+((-0.032268941)*AS3)+(0.1339749098*AT3)+((-0.042411864)*AU3)+(0.0299689621*AV3)+((-0.053362399)*AW3)+(0.0046096779*AX3)+21.046859741</f>
        <v>34.666061812499997</v>
      </c>
      <c r="BC3" s="14">
        <f t="shared" ref="BC3:BC66" si="13">(-0.000915925*AM3)+(-0.035498649*AN3)+(-0.03157714*AO3)+(-0.0251735*AP3)+(-0.024652228*AQ3)+(0.1266860962*AR3)+(0.0808723569*AS3)+(-0.024371371*AT3)+(0.1094084978*AU3)+(0.0694271326*AV3)+(0.1493788958*AW3)+(0.1085734367*AX3)+12.66204834</f>
        <v>42.1818031655</v>
      </c>
      <c r="BE3" s="14">
        <f>(0.0782523751*BH3)+(0.065064013*BI3)+(0.0748361349*BJ3)+(0.0716978312*BK3)+(0.0741541386*BL3)+((-0.057598263)*BM3)+((-0.032268941)*BN3)+(0.1339749098*BO3)+((-0.042411864)*BP3)+(0.0299689621*BQ3)+((-0.053362399)*BR3)+(0.0046096779*BS3)+21.046859741</f>
        <v>39.556400824999997</v>
      </c>
      <c r="BF3" s="14">
        <f>(-0.000915925*BH3)+(-0.035498649*BI3)+(-0.03157714*BJ3)+(-0.0251735*BK3)+(-0.024652228*BL3)+(0.1266860962*BM3)+(0.0808723569*BN3)+(-0.024371371*BO3)+(0.1094084978*BP3)+(0.0694271326*BQ3)+(0.1493788958*BR3)+(0.1085734367*BS3)+12.66204834</f>
        <v>49.275612707999997</v>
      </c>
      <c r="BH3" t="str">
        <f>IF(X3=1,"100",IF(X3=2,"85",IF(X3=3,"60",IF(X3=4,"35","0"))))</f>
        <v>60</v>
      </c>
      <c r="BI3">
        <f>(Y3-1)*50</f>
        <v>0</v>
      </c>
      <c r="BJ3">
        <f>(Z3-1)*50</f>
        <v>0</v>
      </c>
      <c r="BK3" s="15">
        <f>(5-AA3)*25</f>
        <v>100</v>
      </c>
      <c r="BL3" s="15">
        <f>(5-AB3)*25</f>
        <v>100</v>
      </c>
      <c r="BM3" s="15">
        <f>(5-AC3)*25</f>
        <v>100</v>
      </c>
      <c r="BN3" s="15">
        <f>(5-AD3)*25</f>
        <v>100</v>
      </c>
      <c r="BO3">
        <f>(5-AE3)*25</f>
        <v>75</v>
      </c>
      <c r="BP3" s="15">
        <f>(6-AF3)*20</f>
        <v>80</v>
      </c>
      <c r="BQ3" s="15">
        <f>(6-AG3)*20</f>
        <v>80</v>
      </c>
      <c r="BR3">
        <f xml:space="preserve"> (AH3-1)*20</f>
        <v>20</v>
      </c>
      <c r="BS3">
        <f>(AI3-1)*25</f>
        <v>50</v>
      </c>
    </row>
    <row r="4" spans="1:71" x14ac:dyDescent="0.25">
      <c r="A4">
        <v>3</v>
      </c>
      <c r="B4" t="s">
        <v>45</v>
      </c>
      <c r="C4" t="s">
        <v>40</v>
      </c>
      <c r="D4" s="1" t="d">
        <v>2017-08-24T01:11:03.99999973364174175</v>
      </c>
      <c r="E4" s="1" t="d">
        <v>2017-08-24T02:05:44.99999976251274675</v>
      </c>
      <c r="F4" t="s">
        <v>46</v>
      </c>
      <c r="G4">
        <v>2</v>
      </c>
      <c r="H4">
        <v>2</v>
      </c>
      <c r="I4">
        <v>3</v>
      </c>
      <c r="J4">
        <v>5</v>
      </c>
      <c r="K4">
        <v>5</v>
      </c>
      <c r="L4">
        <v>5</v>
      </c>
      <c r="M4">
        <v>5</v>
      </c>
      <c r="N4">
        <v>4</v>
      </c>
      <c r="O4">
        <v>1</v>
      </c>
      <c r="P4">
        <v>1</v>
      </c>
      <c r="Q4">
        <v>6</v>
      </c>
      <c r="R4">
        <v>4</v>
      </c>
      <c r="S4">
        <v>2</v>
      </c>
      <c r="T4">
        <v>4</v>
      </c>
      <c r="U4" s="1" t="d">
        <v>2017-12-09T00:01:35.99999981001019200</v>
      </c>
      <c r="V4" s="1" t="d">
        <v>2017-12-09T01:13:31.0000001499429375</v>
      </c>
      <c r="W4" t="s">
        <v>47</v>
      </c>
      <c r="X4">
        <v>2</v>
      </c>
      <c r="Y4">
        <v>3</v>
      </c>
      <c r="Z4">
        <v>2</v>
      </c>
      <c r="AA4">
        <v>4</v>
      </c>
      <c r="AB4">
        <v>4</v>
      </c>
      <c r="AC4">
        <v>4</v>
      </c>
      <c r="AD4">
        <v>4</v>
      </c>
      <c r="AE4">
        <v>4</v>
      </c>
      <c r="AF4">
        <v>3</v>
      </c>
      <c r="AG4">
        <v>3</v>
      </c>
      <c r="AH4">
        <v>2</v>
      </c>
      <c r="AI4">
        <v>3</v>
      </c>
      <c r="AJ4">
        <v>1</v>
      </c>
      <c r="AK4">
        <v>4</v>
      </c>
      <c r="AM4" t="str">
        <f t="shared" si="0"/>
        <v>85</v>
      </c>
      <c r="AN4">
        <f t="shared" si="1"/>
        <v>50</v>
      </c>
      <c r="AO4">
        <f t="shared" si="2"/>
        <v>100</v>
      </c>
      <c r="AP4" s="15">
        <f t="shared" si="3"/>
        <v>0</v>
      </c>
      <c r="AQ4" s="15">
        <f t="shared" si="4"/>
        <v>0</v>
      </c>
      <c r="AR4" s="15">
        <f t="shared" si="5"/>
        <v>0</v>
      </c>
      <c r="AS4" s="15">
        <f t="shared" si="6"/>
        <v>0</v>
      </c>
      <c r="AT4">
        <f t="shared" si="7"/>
        <v>25</v>
      </c>
      <c r="AU4" s="15">
        <f t="shared" si="8"/>
        <v>100</v>
      </c>
      <c r="AV4" s="15">
        <f t="shared" si="9"/>
        <v>100</v>
      </c>
      <c r="AW4">
        <f t="shared" si="10"/>
        <v>100</v>
      </c>
      <c r="AX4">
        <f t="shared" si="11"/>
        <v>75</v>
      </c>
      <c r="BB4" s="14">
        <f t="shared" si="12"/>
        <v>35.549694261999996</v>
      </c>
      <c r="BC4" s="14">
        <f t="shared" si="13"/>
        <v>48.006724362499995</v>
      </c>
      <c r="BE4" s="14">
        <f t="shared" ref="BE4:BE66" si="14">(0.0782523751*BH4)+(0.065064013*BI4)+(0.0748361349*BJ4)+(0.0716978312*BK4)+(0.0741541386*BL4)+((-0.057598263)*BM4)+((-0.032268941)*BN4)+(0.1339749098*BO4)+((-0.042411864)*BP4)+(0.0299689621*BQ4)+((-0.053362399)*BR4)+(0.0046096779*BS4)+21.046859741</f>
        <v>41.112173360499995</v>
      </c>
      <c r="BF4" s="14">
        <f t="shared" ref="BF4:BF66" si="15">(-0.000915925*BH4)+(-0.035498649*BI4)+(-0.03157714*BJ4)+(-0.0251735*BK4)+(-0.024652228*BL4)+(0.1266860962*BM4)+(0.0808723569*BN4)+(-0.024371371*BO4)+(0.1094084978*BP4)+(0.0694271326*BQ4)+(0.1493788958*BR4)+(0.1085734367*BS4)+12.66204834</f>
        <v>29.935894242499998</v>
      </c>
      <c r="BH4" t="str">
        <f t="shared" ref="BH4:BH67" si="16">IF(X4=1,"100",IF(X4=2,"85",IF(X4=3,"60",IF(X4=4,"35","0"))))</f>
        <v>85</v>
      </c>
      <c r="BI4">
        <f t="shared" ref="BI4:BI67" si="17">(Y4-1)*50</f>
        <v>100</v>
      </c>
      <c r="BJ4">
        <f t="shared" ref="BJ4:BJ67" si="18">(Z4-1)*50</f>
        <v>50</v>
      </c>
      <c r="BK4" s="15">
        <f t="shared" ref="BK4:BK67" si="19">(5-AA4)*25</f>
        <v>25</v>
      </c>
      <c r="BL4" s="15">
        <f t="shared" ref="BL4:BL67" si="20">(5-AB4)*25</f>
        <v>25</v>
      </c>
      <c r="BM4" s="15">
        <f t="shared" ref="BM4:BM67" si="21">(5-AC4)*25</f>
        <v>25</v>
      </c>
      <c r="BN4" s="15">
        <f t="shared" ref="BN4:BN67" si="22">(5-AD4)*25</f>
        <v>25</v>
      </c>
      <c r="BO4">
        <f t="shared" ref="BO4:BO67" si="23">(5-AE4)*25</f>
        <v>25</v>
      </c>
      <c r="BP4" s="15">
        <f t="shared" ref="BP4:BP67" si="24">(6-AF4)*20</f>
        <v>60</v>
      </c>
      <c r="BQ4" s="15">
        <f t="shared" ref="BQ4:BQ67" si="25">(6-AG4)*20</f>
        <v>60</v>
      </c>
      <c r="BR4">
        <f t="shared" ref="BR4:BR67" si="26" xml:space="preserve"> (AH4-1)*20</f>
        <v>20</v>
      </c>
      <c r="BS4">
        <f t="shared" ref="BS4:BS67" si="27">(AI4-1)*25</f>
        <v>50</v>
      </c>
    </row>
    <row r="5" spans="1:71" x14ac:dyDescent="0.25">
      <c r="A5">
        <v>4</v>
      </c>
      <c r="B5" t="s">
        <v>48</v>
      </c>
      <c r="C5" t="s">
        <v>40</v>
      </c>
      <c r="D5" s="1" t="d">
        <v>2017-08-11T09:11:03.99999994318932450</v>
      </c>
      <c r="E5" s="1" t="d">
        <v>2017-08-11T10:02:40.00000010244548550</v>
      </c>
      <c r="F5" t="s">
        <v>49</v>
      </c>
      <c r="G5">
        <v>2</v>
      </c>
      <c r="H5">
        <v>1</v>
      </c>
      <c r="I5">
        <v>2</v>
      </c>
      <c r="J5">
        <v>4</v>
      </c>
      <c r="K5">
        <v>5</v>
      </c>
      <c r="L5">
        <v>2</v>
      </c>
      <c r="M5">
        <v>2</v>
      </c>
      <c r="N5">
        <v>2</v>
      </c>
      <c r="O5">
        <v>1</v>
      </c>
      <c r="P5">
        <v>2</v>
      </c>
      <c r="Q5">
        <v>5</v>
      </c>
      <c r="R5">
        <v>3</v>
      </c>
      <c r="S5">
        <v>3</v>
      </c>
      <c r="T5">
        <v>3</v>
      </c>
      <c r="U5" s="1" t="d">
        <v>2017-12-18T13:25:02.00000011827796950</v>
      </c>
      <c r="V5" s="1" t="d">
        <v>2017-12-18T14:12:03.99999971967190650</v>
      </c>
      <c r="W5" t="s">
        <v>50</v>
      </c>
      <c r="X5">
        <v>3</v>
      </c>
      <c r="Y5">
        <v>2</v>
      </c>
      <c r="Z5">
        <v>1</v>
      </c>
      <c r="AA5">
        <v>2</v>
      </c>
      <c r="AB5">
        <v>2</v>
      </c>
      <c r="AC5">
        <v>2</v>
      </c>
      <c r="AD5">
        <v>2</v>
      </c>
      <c r="AE5">
        <v>2</v>
      </c>
      <c r="AF5">
        <v>3</v>
      </c>
      <c r="AG5">
        <v>3</v>
      </c>
      <c r="AH5">
        <v>3</v>
      </c>
      <c r="AI5">
        <v>2</v>
      </c>
      <c r="AJ5">
        <v>3</v>
      </c>
      <c r="AK5">
        <v>4</v>
      </c>
      <c r="AM5" t="str">
        <f t="shared" si="0"/>
        <v>85</v>
      </c>
      <c r="AN5">
        <f t="shared" si="1"/>
        <v>0</v>
      </c>
      <c r="AO5">
        <f t="shared" si="2"/>
        <v>50</v>
      </c>
      <c r="AP5" s="15">
        <f t="shared" si="3"/>
        <v>25</v>
      </c>
      <c r="AQ5" s="15">
        <f t="shared" si="4"/>
        <v>0</v>
      </c>
      <c r="AR5" s="15">
        <f t="shared" si="5"/>
        <v>75</v>
      </c>
      <c r="AS5" s="15">
        <f t="shared" si="6"/>
        <v>75</v>
      </c>
      <c r="AT5">
        <f t="shared" si="7"/>
        <v>75</v>
      </c>
      <c r="AU5" s="15">
        <f t="shared" si="8"/>
        <v>100</v>
      </c>
      <c r="AV5" s="15">
        <f t="shared" si="9"/>
        <v>80</v>
      </c>
      <c r="AW5">
        <f t="shared" si="10"/>
        <v>80</v>
      </c>
      <c r="AX5">
        <f t="shared" si="11"/>
        <v>50</v>
      </c>
      <c r="BB5" s="14">
        <f t="shared" si="12"/>
        <v>30.658464627500003</v>
      </c>
      <c r="BC5" s="14">
        <f t="shared" si="13"/>
        <v>57.9890352595</v>
      </c>
      <c r="BE5" s="14">
        <f t="shared" si="14"/>
        <v>40.476350440499999</v>
      </c>
      <c r="BF5" s="14">
        <f t="shared" si="15"/>
        <v>40.253891521</v>
      </c>
      <c r="BH5" t="str">
        <f t="shared" si="16"/>
        <v>60</v>
      </c>
      <c r="BI5">
        <f t="shared" si="17"/>
        <v>50</v>
      </c>
      <c r="BJ5">
        <f t="shared" si="18"/>
        <v>0</v>
      </c>
      <c r="BK5" s="15">
        <f t="shared" si="19"/>
        <v>75</v>
      </c>
      <c r="BL5" s="15">
        <f t="shared" si="20"/>
        <v>75</v>
      </c>
      <c r="BM5" s="15">
        <f t="shared" si="21"/>
        <v>75</v>
      </c>
      <c r="BN5" s="15">
        <f t="shared" si="22"/>
        <v>75</v>
      </c>
      <c r="BO5">
        <f t="shared" si="23"/>
        <v>75</v>
      </c>
      <c r="BP5" s="15">
        <f t="shared" si="24"/>
        <v>60</v>
      </c>
      <c r="BQ5" s="15">
        <f t="shared" si="25"/>
        <v>60</v>
      </c>
      <c r="BR5">
        <f t="shared" si="26"/>
        <v>40</v>
      </c>
      <c r="BS5">
        <f t="shared" si="27"/>
        <v>25</v>
      </c>
    </row>
    <row r="6" spans="1:71" x14ac:dyDescent="0.25">
      <c r="A6">
        <v>5</v>
      </c>
      <c r="B6" t="s">
        <v>51</v>
      </c>
      <c r="C6" t="s">
        <v>40</v>
      </c>
      <c r="D6" s="1" t="d">
        <v>2017-08-10T14:55:43.00000027287751200</v>
      </c>
      <c r="E6" s="1" t="d">
        <v>2017-08-10T16:07:06.00000004749745200</v>
      </c>
      <c r="F6" t="s">
        <v>52</v>
      </c>
      <c r="G6">
        <v>3</v>
      </c>
      <c r="H6">
        <v>2</v>
      </c>
      <c r="I6">
        <v>2</v>
      </c>
      <c r="J6">
        <v>3</v>
      </c>
      <c r="K6">
        <v>3</v>
      </c>
      <c r="L6">
        <v>4</v>
      </c>
      <c r="M6">
        <v>4</v>
      </c>
      <c r="N6">
        <v>3</v>
      </c>
      <c r="O6">
        <v>3</v>
      </c>
      <c r="P6">
        <v>1</v>
      </c>
      <c r="Q6">
        <v>4</v>
      </c>
      <c r="R6">
        <v>3</v>
      </c>
      <c r="S6">
        <v>4</v>
      </c>
      <c r="T6">
        <v>4</v>
      </c>
      <c r="U6" s="1" t="d">
        <v>2017-12-11T17:40:12.00000015087425850</v>
      </c>
      <c r="V6" s="1" t="d">
        <v>2017-12-11T18:09:18.00000031013041950</v>
      </c>
      <c r="W6" t="s">
        <v>53</v>
      </c>
      <c r="X6">
        <v>3</v>
      </c>
      <c r="Y6">
        <v>2</v>
      </c>
      <c r="Z6">
        <v>3</v>
      </c>
      <c r="AA6">
        <v>4</v>
      </c>
      <c r="AB6">
        <v>3</v>
      </c>
      <c r="AC6">
        <v>4</v>
      </c>
      <c r="AD6">
        <v>1</v>
      </c>
      <c r="AE6">
        <v>3</v>
      </c>
      <c r="AF6">
        <v>3</v>
      </c>
      <c r="AG6">
        <v>1</v>
      </c>
      <c r="AH6">
        <v>5</v>
      </c>
      <c r="AI6">
        <v>3</v>
      </c>
      <c r="AJ6">
        <v>3</v>
      </c>
      <c r="AK6">
        <v>4</v>
      </c>
      <c r="AM6" t="str">
        <f t="shared" si="0"/>
        <v>60</v>
      </c>
      <c r="AN6">
        <f t="shared" si="1"/>
        <v>50</v>
      </c>
      <c r="AO6">
        <f t="shared" si="2"/>
        <v>50</v>
      </c>
      <c r="AP6" s="15">
        <f t="shared" si="3"/>
        <v>50</v>
      </c>
      <c r="AQ6" s="15">
        <f t="shared" si="4"/>
        <v>50</v>
      </c>
      <c r="AR6" s="15">
        <f t="shared" si="5"/>
        <v>25</v>
      </c>
      <c r="AS6" s="15">
        <f t="shared" si="6"/>
        <v>25</v>
      </c>
      <c r="AT6">
        <f t="shared" si="7"/>
        <v>50</v>
      </c>
      <c r="AU6" s="15">
        <f t="shared" si="8"/>
        <v>60</v>
      </c>
      <c r="AV6" s="15">
        <f t="shared" si="9"/>
        <v>100</v>
      </c>
      <c r="AW6">
        <f t="shared" si="10"/>
        <v>60</v>
      </c>
      <c r="AX6">
        <f t="shared" si="11"/>
        <v>50</v>
      </c>
      <c r="BB6" s="14">
        <f t="shared" si="12"/>
        <v>41.962597846999998</v>
      </c>
      <c r="BC6" s="14">
        <f t="shared" si="13"/>
        <v>38.631038478500002</v>
      </c>
      <c r="BE6" s="14">
        <f t="shared" si="14"/>
        <v>40.424540256999997</v>
      </c>
      <c r="BF6" s="14">
        <f t="shared" si="15"/>
        <v>46.734523662000001</v>
      </c>
      <c r="BH6" t="str">
        <f t="shared" si="16"/>
        <v>60</v>
      </c>
      <c r="BI6">
        <f t="shared" si="17"/>
        <v>50</v>
      </c>
      <c r="BJ6">
        <f t="shared" si="18"/>
        <v>100</v>
      </c>
      <c r="BK6" s="15">
        <f t="shared" si="19"/>
        <v>25</v>
      </c>
      <c r="BL6" s="15">
        <f t="shared" si="20"/>
        <v>50</v>
      </c>
      <c r="BM6" s="15">
        <f t="shared" si="21"/>
        <v>25</v>
      </c>
      <c r="BN6" s="15">
        <f t="shared" si="22"/>
        <v>100</v>
      </c>
      <c r="BO6">
        <f t="shared" si="23"/>
        <v>50</v>
      </c>
      <c r="BP6" s="15">
        <f t="shared" si="24"/>
        <v>60</v>
      </c>
      <c r="BQ6" s="15">
        <f t="shared" si="25"/>
        <v>100</v>
      </c>
      <c r="BR6">
        <f t="shared" si="26"/>
        <v>80</v>
      </c>
      <c r="BS6">
        <f t="shared" si="27"/>
        <v>50</v>
      </c>
    </row>
    <row r="7" spans="1:71" x14ac:dyDescent="0.25">
      <c r="A7">
        <v>6</v>
      </c>
      <c r="B7" t="s">
        <v>54</v>
      </c>
      <c r="C7" t="s">
        <v>40</v>
      </c>
      <c r="D7" s="1" t="d">
        <v>2017-08-11T07:22:11.9999999832361950</v>
      </c>
      <c r="E7" s="1" t="d">
        <v>2017-08-11T07:58:31.99999975506216525</v>
      </c>
      <c r="F7" t="s">
        <v>55</v>
      </c>
      <c r="G7">
        <v>2</v>
      </c>
      <c r="H7">
        <v>1</v>
      </c>
      <c r="I7">
        <v>1</v>
      </c>
      <c r="J7">
        <v>1</v>
      </c>
      <c r="K7">
        <v>1</v>
      </c>
      <c r="L7">
        <v>3</v>
      </c>
      <c r="M7">
        <v>3</v>
      </c>
      <c r="N7">
        <v>2</v>
      </c>
      <c r="O7">
        <v>3</v>
      </c>
      <c r="P7">
        <v>3</v>
      </c>
      <c r="Q7">
        <v>4</v>
      </c>
      <c r="R7">
        <v>4</v>
      </c>
      <c r="S7">
        <v>4</v>
      </c>
      <c r="T7">
        <v>3</v>
      </c>
      <c r="U7" s="1" t="d">
        <v>2017-12-17T08:10:26.0000000707805175</v>
      </c>
      <c r="V7" s="1" t="d">
        <v>2018-01-15T10:43:52.00000023934990200</v>
      </c>
      <c r="W7" t="s">
        <v>56</v>
      </c>
      <c r="X7">
        <v>3</v>
      </c>
      <c r="Y7">
        <v>1</v>
      </c>
      <c r="Z7">
        <v>1</v>
      </c>
      <c r="AA7">
        <v>2</v>
      </c>
      <c r="AB7">
        <v>1</v>
      </c>
      <c r="AC7">
        <v>2</v>
      </c>
      <c r="AD7">
        <v>2</v>
      </c>
      <c r="AE7">
        <v>3</v>
      </c>
      <c r="AF7">
        <v>3</v>
      </c>
      <c r="AG7">
        <v>4</v>
      </c>
      <c r="AH7">
        <v>3</v>
      </c>
      <c r="AI7">
        <v>3</v>
      </c>
      <c r="AJ7">
        <v>3</v>
      </c>
      <c r="AK7">
        <v>4</v>
      </c>
      <c r="AM7" t="str">
        <f t="shared" si="0"/>
        <v>85</v>
      </c>
      <c r="AN7">
        <f t="shared" si="1"/>
        <v>0</v>
      </c>
      <c r="AO7">
        <f t="shared" si="2"/>
        <v>0</v>
      </c>
      <c r="AP7" s="15">
        <f t="shared" si="3"/>
        <v>100</v>
      </c>
      <c r="AQ7" s="15">
        <f t="shared" si="4"/>
        <v>100</v>
      </c>
      <c r="AR7" s="15">
        <f t="shared" si="5"/>
        <v>50</v>
      </c>
      <c r="AS7" s="15">
        <f t="shared" si="6"/>
        <v>50</v>
      </c>
      <c r="AT7">
        <f t="shared" si="7"/>
        <v>75</v>
      </c>
      <c r="AU7" s="15">
        <f t="shared" si="8"/>
        <v>60</v>
      </c>
      <c r="AV7" s="15">
        <f t="shared" si="9"/>
        <v>60</v>
      </c>
      <c r="AW7">
        <f t="shared" si="10"/>
        <v>60</v>
      </c>
      <c r="AX7">
        <f t="shared" si="11"/>
        <v>75</v>
      </c>
      <c r="BB7" s="14">
        <f t="shared" si="12"/>
        <v>44.235674427999996</v>
      </c>
      <c r="BC7" s="14">
        <f t="shared" si="13"/>
        <v>43.987571069499992</v>
      </c>
      <c r="BE7" s="14">
        <f t="shared" si="14"/>
        <v>35.243493216000005</v>
      </c>
      <c r="BF7" s="14">
        <f t="shared" si="15"/>
        <v>43.347595811499993</v>
      </c>
      <c r="BH7" t="str">
        <f t="shared" si="16"/>
        <v>60</v>
      </c>
      <c r="BI7">
        <f t="shared" si="17"/>
        <v>0</v>
      </c>
      <c r="BJ7">
        <f t="shared" si="18"/>
        <v>0</v>
      </c>
      <c r="BK7" s="15">
        <f t="shared" si="19"/>
        <v>75</v>
      </c>
      <c r="BL7" s="15">
        <f t="shared" si="20"/>
        <v>100</v>
      </c>
      <c r="BM7" s="15">
        <f t="shared" si="21"/>
        <v>75</v>
      </c>
      <c r="BN7" s="15">
        <f t="shared" si="22"/>
        <v>75</v>
      </c>
      <c r="BO7">
        <f t="shared" si="23"/>
        <v>50</v>
      </c>
      <c r="BP7" s="15">
        <f t="shared" si="24"/>
        <v>60</v>
      </c>
      <c r="BQ7" s="15">
        <f t="shared" si="25"/>
        <v>40</v>
      </c>
      <c r="BR7">
        <f t="shared" si="26"/>
        <v>40</v>
      </c>
      <c r="BS7">
        <f t="shared" si="27"/>
        <v>50</v>
      </c>
    </row>
    <row r="8" spans="1:71" x14ac:dyDescent="0.25">
      <c r="A8">
        <v>7</v>
      </c>
      <c r="B8" t="s">
        <v>57</v>
      </c>
      <c r="C8" t="s">
        <v>40</v>
      </c>
      <c r="D8" s="1" t="d">
        <v>2017-08-17T16:38:48.99999981746077350</v>
      </c>
      <c r="E8" s="1" t="d">
        <v>2017-08-17T18:22:57.000000025145709525</v>
      </c>
      <c r="F8" t="s">
        <v>58</v>
      </c>
      <c r="G8">
        <v>2</v>
      </c>
      <c r="H8">
        <v>3</v>
      </c>
      <c r="I8">
        <v>3</v>
      </c>
      <c r="J8">
        <v>5</v>
      </c>
      <c r="K8">
        <v>5</v>
      </c>
      <c r="L8">
        <v>2</v>
      </c>
      <c r="M8">
        <v>2</v>
      </c>
      <c r="N8">
        <v>4</v>
      </c>
      <c r="O8">
        <v>2</v>
      </c>
      <c r="P8">
        <v>3</v>
      </c>
      <c r="Q8">
        <v>3</v>
      </c>
      <c r="R8">
        <v>5</v>
      </c>
      <c r="S8">
        <v>2</v>
      </c>
      <c r="T8">
        <v>4</v>
      </c>
      <c r="U8" s="1" t="d">
        <v>2017-12-21T16:29:12.00000009499490400</v>
      </c>
      <c r="V8" s="1" t="d">
        <v>2017-12-21T17:32:03.0000002542510650</v>
      </c>
      <c r="W8" t="s">
        <v>59</v>
      </c>
      <c r="X8">
        <v>1</v>
      </c>
      <c r="Y8">
        <v>3</v>
      </c>
      <c r="Z8">
        <v>3</v>
      </c>
      <c r="AA8">
        <v>4</v>
      </c>
      <c r="AB8">
        <v>5</v>
      </c>
      <c r="AC8">
        <v>3</v>
      </c>
      <c r="AD8">
        <v>3</v>
      </c>
      <c r="AE8">
        <v>5</v>
      </c>
      <c r="AF8">
        <v>3</v>
      </c>
      <c r="AG8">
        <v>2</v>
      </c>
      <c r="AH8">
        <v>2</v>
      </c>
      <c r="AI8">
        <v>4</v>
      </c>
      <c r="AJ8">
        <v>2</v>
      </c>
      <c r="AK8">
        <v>4</v>
      </c>
      <c r="AM8" t="str">
        <f t="shared" si="0"/>
        <v>85</v>
      </c>
      <c r="AN8">
        <f t="shared" si="1"/>
        <v>100</v>
      </c>
      <c r="AO8">
        <f t="shared" si="2"/>
        <v>100</v>
      </c>
      <c r="AP8" s="15">
        <f t="shared" si="3"/>
        <v>0</v>
      </c>
      <c r="AQ8" s="15">
        <f t="shared" si="4"/>
        <v>0</v>
      </c>
      <c r="AR8" s="15">
        <f t="shared" si="5"/>
        <v>75</v>
      </c>
      <c r="AS8" s="15">
        <f t="shared" si="6"/>
        <v>75</v>
      </c>
      <c r="AT8">
        <f t="shared" si="7"/>
        <v>25</v>
      </c>
      <c r="AU8" s="15">
        <f t="shared" si="8"/>
        <v>80</v>
      </c>
      <c r="AV8" s="15">
        <f t="shared" si="9"/>
        <v>60</v>
      </c>
      <c r="AW8">
        <f t="shared" si="10"/>
        <v>40</v>
      </c>
      <c r="AX8">
        <f t="shared" si="11"/>
        <v>100</v>
      </c>
      <c r="BB8" s="14">
        <f t="shared" si="12"/>
        <v>35.029319295499995</v>
      </c>
      <c r="BC8" s="14">
        <f t="shared" si="13"/>
        <v>50.585022804499999</v>
      </c>
      <c r="BE8" s="14">
        <f t="shared" si="14"/>
        <v>39.292480611499997</v>
      </c>
      <c r="BF8" s="14">
        <f t="shared" si="15"/>
        <v>38.860728239499998</v>
      </c>
      <c r="BH8" t="str">
        <f t="shared" si="16"/>
        <v>100</v>
      </c>
      <c r="BI8">
        <f t="shared" si="17"/>
        <v>100</v>
      </c>
      <c r="BJ8">
        <f t="shared" si="18"/>
        <v>100</v>
      </c>
      <c r="BK8" s="15">
        <f t="shared" si="19"/>
        <v>25</v>
      </c>
      <c r="BL8" s="15">
        <f t="shared" si="20"/>
        <v>0</v>
      </c>
      <c r="BM8" s="15">
        <f t="shared" si="21"/>
        <v>50</v>
      </c>
      <c r="BN8" s="15">
        <f t="shared" si="22"/>
        <v>50</v>
      </c>
      <c r="BO8">
        <f t="shared" si="23"/>
        <v>0</v>
      </c>
      <c r="BP8" s="15">
        <f t="shared" si="24"/>
        <v>60</v>
      </c>
      <c r="BQ8" s="15">
        <f t="shared" si="25"/>
        <v>80</v>
      </c>
      <c r="BR8">
        <f t="shared" si="26"/>
        <v>20</v>
      </c>
      <c r="BS8">
        <f t="shared" si="27"/>
        <v>75</v>
      </c>
    </row>
    <row r="9" spans="1:71" x14ac:dyDescent="0.25">
      <c r="A9">
        <v>8</v>
      </c>
      <c r="B9" t="s">
        <v>60</v>
      </c>
      <c r="C9" t="s">
        <v>40</v>
      </c>
      <c r="D9" s="1" t="d">
        <v>2017-08-12T10:59:58.99999997578561350</v>
      </c>
      <c r="E9" s="1" t="d">
        <v>2017-08-12T11:56:36.00000008940696450</v>
      </c>
      <c r="F9" t="s">
        <v>61</v>
      </c>
      <c r="G9">
        <v>3</v>
      </c>
      <c r="H9">
        <v>2</v>
      </c>
      <c r="I9">
        <v>2</v>
      </c>
      <c r="J9">
        <v>3</v>
      </c>
      <c r="K9">
        <v>4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4</v>
      </c>
      <c r="S9">
        <v>2</v>
      </c>
      <c r="T9">
        <v>3</v>
      </c>
      <c r="U9" s="1" t="d">
        <v>2017-12-16T18:08:24.99999986495822550</v>
      </c>
      <c r="V9" s="1" t="d">
        <v>2017-12-16T18:51:15.99999988451600025</v>
      </c>
      <c r="W9" t="s">
        <v>62</v>
      </c>
      <c r="X9">
        <v>3</v>
      </c>
      <c r="Y9">
        <v>2</v>
      </c>
      <c r="Z9">
        <v>2</v>
      </c>
      <c r="AA9">
        <v>3</v>
      </c>
      <c r="AB9">
        <v>3</v>
      </c>
      <c r="AC9">
        <v>2</v>
      </c>
      <c r="AD9">
        <v>2</v>
      </c>
      <c r="AE9">
        <v>3</v>
      </c>
      <c r="AF9">
        <v>4</v>
      </c>
      <c r="AG9">
        <v>4</v>
      </c>
      <c r="AH9">
        <v>3</v>
      </c>
      <c r="AI9">
        <v>3</v>
      </c>
      <c r="AJ9">
        <v>2</v>
      </c>
      <c r="AK9">
        <v>3</v>
      </c>
      <c r="AM9" t="str">
        <f t="shared" si="0"/>
        <v>60</v>
      </c>
      <c r="AN9">
        <f t="shared" si="1"/>
        <v>50</v>
      </c>
      <c r="AO9">
        <f t="shared" si="2"/>
        <v>50</v>
      </c>
      <c r="AP9" s="15">
        <f t="shared" si="3"/>
        <v>50</v>
      </c>
      <c r="AQ9" s="15">
        <f t="shared" si="4"/>
        <v>25</v>
      </c>
      <c r="AR9" s="15">
        <f t="shared" si="5"/>
        <v>50</v>
      </c>
      <c r="AS9" s="15">
        <f t="shared" si="6"/>
        <v>50</v>
      </c>
      <c r="AT9">
        <f t="shared" si="7"/>
        <v>50</v>
      </c>
      <c r="AU9" s="15">
        <f t="shared" si="8"/>
        <v>60</v>
      </c>
      <c r="AV9" s="15">
        <f t="shared" si="9"/>
        <v>60</v>
      </c>
      <c r="AW9">
        <f t="shared" si="10"/>
        <v>40</v>
      </c>
      <c r="AX9">
        <f t="shared" si="11"/>
        <v>75</v>
      </c>
      <c r="BB9" s="14">
        <f t="shared" si="12"/>
        <v>37.845795725499997</v>
      </c>
      <c r="BC9" s="14">
        <f t="shared" si="13"/>
        <v>41.385978203499995</v>
      </c>
      <c r="BE9" s="14">
        <f t="shared" si="14"/>
        <v>37.586585181000004</v>
      </c>
      <c r="BF9" s="14">
        <f t="shared" si="15"/>
        <v>39.667585305499998</v>
      </c>
      <c r="BH9" t="str">
        <f t="shared" si="16"/>
        <v>60</v>
      </c>
      <c r="BI9">
        <f t="shared" si="17"/>
        <v>50</v>
      </c>
      <c r="BJ9">
        <f t="shared" si="18"/>
        <v>50</v>
      </c>
      <c r="BK9" s="15">
        <f t="shared" si="19"/>
        <v>50</v>
      </c>
      <c r="BL9" s="15">
        <f t="shared" si="20"/>
        <v>50</v>
      </c>
      <c r="BM9" s="15">
        <f t="shared" si="21"/>
        <v>75</v>
      </c>
      <c r="BN9" s="15">
        <f t="shared" si="22"/>
        <v>75</v>
      </c>
      <c r="BO9">
        <f t="shared" si="23"/>
        <v>50</v>
      </c>
      <c r="BP9" s="15">
        <f t="shared" si="24"/>
        <v>40</v>
      </c>
      <c r="BQ9" s="15">
        <f t="shared" si="25"/>
        <v>40</v>
      </c>
      <c r="BR9">
        <f t="shared" si="26"/>
        <v>40</v>
      </c>
      <c r="BS9">
        <f t="shared" si="27"/>
        <v>50</v>
      </c>
    </row>
    <row r="10" spans="1:71" x14ac:dyDescent="0.25">
      <c r="A10">
        <v>9</v>
      </c>
      <c r="B10" t="s">
        <v>63</v>
      </c>
      <c r="C10" t="s">
        <v>40</v>
      </c>
      <c r="D10" s="1" t="d">
        <v>2017-09-13T22:13:36.00000006146728725</v>
      </c>
      <c r="E10" s="1" t="d">
        <v>2017-09-13T23:32:05.99999969825148300</v>
      </c>
      <c r="F10" t="s">
        <v>64</v>
      </c>
      <c r="G10">
        <v>3</v>
      </c>
      <c r="H10">
        <v>2</v>
      </c>
      <c r="I10">
        <v>1</v>
      </c>
      <c r="J10">
        <v>3</v>
      </c>
      <c r="K10">
        <v>3</v>
      </c>
      <c r="L10">
        <v>2</v>
      </c>
      <c r="M10">
        <v>2</v>
      </c>
      <c r="N10">
        <v>3</v>
      </c>
      <c r="O10">
        <v>4</v>
      </c>
      <c r="P10">
        <v>1</v>
      </c>
      <c r="Q10">
        <v>2</v>
      </c>
      <c r="R10">
        <v>2</v>
      </c>
      <c r="S10">
        <v>1</v>
      </c>
      <c r="T10">
        <v>1</v>
      </c>
      <c r="U10" s="1" t="d">
        <v>2018-02-06T12:00:44.99999983236193650</v>
      </c>
      <c r="V10" s="1" t="d">
        <v>2018-02-06T13:09:13.99999979417770800</v>
      </c>
      <c r="W10" t="s">
        <v>65</v>
      </c>
      <c r="X10">
        <v>3</v>
      </c>
      <c r="Y10">
        <v>1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3</v>
      </c>
      <c r="AF10">
        <v>3</v>
      </c>
      <c r="AG10">
        <v>3</v>
      </c>
      <c r="AH10">
        <v>3</v>
      </c>
      <c r="AI10">
        <v>2</v>
      </c>
      <c r="AJ10">
        <v>2</v>
      </c>
      <c r="AK10">
        <v>2</v>
      </c>
      <c r="AM10" t="str">
        <f t="shared" si="0"/>
        <v>60</v>
      </c>
      <c r="AN10">
        <f t="shared" si="1"/>
        <v>50</v>
      </c>
      <c r="AO10">
        <f t="shared" si="2"/>
        <v>0</v>
      </c>
      <c r="AP10" s="15">
        <f t="shared" si="3"/>
        <v>50</v>
      </c>
      <c r="AQ10" s="15">
        <f t="shared" si="4"/>
        <v>50</v>
      </c>
      <c r="AR10" s="15">
        <f t="shared" si="5"/>
        <v>75</v>
      </c>
      <c r="AS10" s="15">
        <f t="shared" si="6"/>
        <v>75</v>
      </c>
      <c r="AT10">
        <f t="shared" si="7"/>
        <v>50</v>
      </c>
      <c r="AU10" s="15">
        <f t="shared" si="8"/>
        <v>40</v>
      </c>
      <c r="AV10" s="15">
        <f t="shared" si="9"/>
        <v>100</v>
      </c>
      <c r="AW10">
        <f t="shared" si="10"/>
        <v>20</v>
      </c>
      <c r="AX10">
        <f t="shared" si="11"/>
        <v>25</v>
      </c>
      <c r="BB10" s="14">
        <f t="shared" si="12"/>
        <v>36.594922194500001</v>
      </c>
      <c r="BC10" s="14">
        <f t="shared" si="13"/>
        <v>39.710156427999998</v>
      </c>
      <c r="BE10" s="14">
        <f t="shared" si="14"/>
        <v>37.615583790499997</v>
      </c>
      <c r="BF10" s="14">
        <f t="shared" si="15"/>
        <v>41.059251245999995</v>
      </c>
      <c r="BH10" t="str">
        <f t="shared" si="16"/>
        <v>60</v>
      </c>
      <c r="BI10">
        <f t="shared" si="17"/>
        <v>0</v>
      </c>
      <c r="BJ10">
        <f t="shared" si="18"/>
        <v>50</v>
      </c>
      <c r="BK10" s="15">
        <f t="shared" si="19"/>
        <v>75</v>
      </c>
      <c r="BL10" s="15">
        <f t="shared" si="20"/>
        <v>75</v>
      </c>
      <c r="BM10" s="15">
        <f t="shared" si="21"/>
        <v>75</v>
      </c>
      <c r="BN10" s="15">
        <f t="shared" si="22"/>
        <v>75</v>
      </c>
      <c r="BO10">
        <f t="shared" si="23"/>
        <v>50</v>
      </c>
      <c r="BP10" s="15">
        <f t="shared" si="24"/>
        <v>60</v>
      </c>
      <c r="BQ10" s="15">
        <f t="shared" si="25"/>
        <v>60</v>
      </c>
      <c r="BR10">
        <f t="shared" si="26"/>
        <v>40</v>
      </c>
      <c r="BS10">
        <f t="shared" si="27"/>
        <v>25</v>
      </c>
    </row>
    <row r="11" spans="1:71" x14ac:dyDescent="0.25">
      <c r="A11">
        <v>10</v>
      </c>
      <c r="B11" t="s">
        <v>66</v>
      </c>
      <c r="C11" t="s">
        <v>40</v>
      </c>
      <c r="D11" s="1" t="d">
        <v>2017-08-30T08:43:15.99999978672713325</v>
      </c>
      <c r="E11" s="1" t="d">
        <v>2017-08-30T09:06:57.00000003911554950</v>
      </c>
      <c r="F11" t="s">
        <v>67</v>
      </c>
      <c r="G11">
        <v>4</v>
      </c>
      <c r="H11">
        <v>1</v>
      </c>
      <c r="I11">
        <v>1</v>
      </c>
      <c r="J11">
        <v>2</v>
      </c>
      <c r="K11">
        <v>2</v>
      </c>
      <c r="L11">
        <v>3</v>
      </c>
      <c r="M11">
        <v>2</v>
      </c>
      <c r="N11">
        <v>2</v>
      </c>
      <c r="O11">
        <v>3</v>
      </c>
      <c r="P11">
        <v>3</v>
      </c>
      <c r="Q11">
        <v>5</v>
      </c>
      <c r="R11">
        <v>5</v>
      </c>
      <c r="S11">
        <v>1</v>
      </c>
      <c r="T11">
        <v>1</v>
      </c>
      <c r="U11" s="1" t="d">
        <v>2018-01-18T09:41:25.00000003259628900</v>
      </c>
      <c r="V11" s="1" t="d">
        <v>2018-01-18T10:54:10.00000011641532075</v>
      </c>
      <c r="W11" t="s">
        <v>68</v>
      </c>
      <c r="X11">
        <v>3</v>
      </c>
      <c r="Y11">
        <v>2</v>
      </c>
      <c r="Z11">
        <v>2</v>
      </c>
      <c r="AA11">
        <v>5</v>
      </c>
      <c r="AB11">
        <v>5</v>
      </c>
      <c r="AC11">
        <v>5</v>
      </c>
      <c r="AD11">
        <v>4</v>
      </c>
      <c r="AE11">
        <v>4</v>
      </c>
      <c r="AF11">
        <v>1</v>
      </c>
      <c r="AG11">
        <v>1</v>
      </c>
      <c r="AH11">
        <v>6</v>
      </c>
      <c r="AI11">
        <v>5</v>
      </c>
      <c r="AJ11">
        <v>2</v>
      </c>
      <c r="AK11">
        <v>1</v>
      </c>
      <c r="AM11" t="str">
        <f t="shared" si="0"/>
        <v>35</v>
      </c>
      <c r="AN11">
        <f t="shared" si="1"/>
        <v>0</v>
      </c>
      <c r="AO11">
        <f t="shared" si="2"/>
        <v>0</v>
      </c>
      <c r="AP11" s="15">
        <f t="shared" si="3"/>
        <v>75</v>
      </c>
      <c r="AQ11" s="15">
        <f t="shared" si="4"/>
        <v>75</v>
      </c>
      <c r="AR11" s="15">
        <f t="shared" si="5"/>
        <v>50</v>
      </c>
      <c r="AS11" s="15">
        <f t="shared" si="6"/>
        <v>75</v>
      </c>
      <c r="AT11">
        <f t="shared" si="7"/>
        <v>75</v>
      </c>
      <c r="AU11" s="15">
        <f t="shared" si="8"/>
        <v>60</v>
      </c>
      <c r="AV11" s="15">
        <f t="shared" si="9"/>
        <v>60</v>
      </c>
      <c r="AW11">
        <f t="shared" si="10"/>
        <v>80</v>
      </c>
      <c r="AX11">
        <f t="shared" si="11"/>
        <v>100</v>
      </c>
      <c r="BB11" s="14">
        <f t="shared" si="12"/>
        <v>34.9180268705</v>
      </c>
      <c r="BC11" s="14">
        <f t="shared" si="13"/>
        <v>53.002733275499992</v>
      </c>
      <c r="BE11" s="14">
        <f t="shared" si="14"/>
        <v>29.160096562</v>
      </c>
      <c r="BF11" s="14">
        <f t="shared" si="15"/>
        <v>54.3446243275</v>
      </c>
      <c r="BH11" t="str">
        <f t="shared" si="16"/>
        <v>60</v>
      </c>
      <c r="BI11">
        <f t="shared" si="17"/>
        <v>50</v>
      </c>
      <c r="BJ11">
        <f t="shared" si="18"/>
        <v>50</v>
      </c>
      <c r="BK11" s="15">
        <f t="shared" si="19"/>
        <v>0</v>
      </c>
      <c r="BL11" s="15">
        <f t="shared" si="20"/>
        <v>0</v>
      </c>
      <c r="BM11" s="15">
        <f t="shared" si="21"/>
        <v>0</v>
      </c>
      <c r="BN11" s="15">
        <f t="shared" si="22"/>
        <v>25</v>
      </c>
      <c r="BO11">
        <f t="shared" si="23"/>
        <v>25</v>
      </c>
      <c r="BP11" s="15">
        <f t="shared" si="24"/>
        <v>100</v>
      </c>
      <c r="BQ11" s="15">
        <f t="shared" si="25"/>
        <v>100</v>
      </c>
      <c r="BR11">
        <f t="shared" si="26"/>
        <v>100</v>
      </c>
      <c r="BS11">
        <f t="shared" si="27"/>
        <v>100</v>
      </c>
    </row>
    <row r="12" spans="1:71" x14ac:dyDescent="0.25">
      <c r="A12">
        <v>11</v>
      </c>
      <c r="B12" t="s">
        <v>69</v>
      </c>
      <c r="C12" t="s">
        <v>40</v>
      </c>
      <c r="D12" s="1" t="d">
        <v>2017-08-20T21:14:22.99999994225800350</v>
      </c>
      <c r="E12" s="1" t="d">
        <v>2017-08-20T21:49:14.00000028312206325</v>
      </c>
      <c r="F12" t="s">
        <v>70</v>
      </c>
      <c r="G12">
        <v>2</v>
      </c>
      <c r="H12">
        <v>1</v>
      </c>
      <c r="I12">
        <v>1</v>
      </c>
      <c r="J12">
        <v>1</v>
      </c>
      <c r="K12">
        <v>1</v>
      </c>
      <c r="L12">
        <v>3</v>
      </c>
      <c r="M12">
        <v>2</v>
      </c>
      <c r="N12">
        <v>2</v>
      </c>
      <c r="O12">
        <v>2</v>
      </c>
      <c r="P12">
        <v>1</v>
      </c>
      <c r="Q12">
        <v>5</v>
      </c>
      <c r="R12">
        <v>5</v>
      </c>
      <c r="S12">
        <v>3</v>
      </c>
      <c r="T12">
        <v>3</v>
      </c>
      <c r="U12" s="1" t="d">
        <v>2018-02-05T13:59:47.99999991897493800</v>
      </c>
      <c r="V12" s="1" t="d">
        <v>2018-02-05T14:58:30.99999994039535475</v>
      </c>
      <c r="W12" t="s">
        <v>71</v>
      </c>
      <c r="X12">
        <v>2</v>
      </c>
      <c r="Y12">
        <v>1</v>
      </c>
      <c r="Z12">
        <v>1</v>
      </c>
      <c r="AA12">
        <v>3</v>
      </c>
      <c r="AB12">
        <v>3</v>
      </c>
      <c r="AC12">
        <v>1</v>
      </c>
      <c r="AD12">
        <v>1</v>
      </c>
      <c r="AE12">
        <v>3</v>
      </c>
      <c r="AF12">
        <v>4</v>
      </c>
      <c r="AG12">
        <v>2</v>
      </c>
      <c r="AH12">
        <v>2</v>
      </c>
      <c r="AI12">
        <v>1</v>
      </c>
      <c r="AJ12">
        <v>4</v>
      </c>
      <c r="AK12">
        <v>5</v>
      </c>
      <c r="AM12" t="str">
        <f t="shared" si="0"/>
        <v>85</v>
      </c>
      <c r="AN12">
        <f t="shared" si="1"/>
        <v>0</v>
      </c>
      <c r="AO12">
        <f t="shared" si="2"/>
        <v>0</v>
      </c>
      <c r="AP12" s="15">
        <f t="shared" si="3"/>
        <v>100</v>
      </c>
      <c r="AQ12" s="15">
        <f t="shared" si="4"/>
        <v>100</v>
      </c>
      <c r="AR12" s="15">
        <f t="shared" si="5"/>
        <v>50</v>
      </c>
      <c r="AS12" s="15">
        <f t="shared" si="6"/>
        <v>75</v>
      </c>
      <c r="AT12">
        <f t="shared" si="7"/>
        <v>75</v>
      </c>
      <c r="AU12" s="15">
        <f t="shared" si="8"/>
        <v>80</v>
      </c>
      <c r="AV12" s="15">
        <f t="shared" si="9"/>
        <v>100</v>
      </c>
      <c r="AW12">
        <f t="shared" si="10"/>
        <v>80</v>
      </c>
      <c r="AX12">
        <f t="shared" si="11"/>
        <v>100</v>
      </c>
      <c r="BB12" s="14">
        <f t="shared" si="12"/>
        <v>42.827466074499995</v>
      </c>
      <c r="BC12" s="14">
        <f t="shared" si="13"/>
        <v>56.676549085499992</v>
      </c>
      <c r="BE12" s="14">
        <f t="shared" si="14"/>
        <v>32.336729632499996</v>
      </c>
      <c r="BF12" s="14">
        <f t="shared" si="15"/>
        <v>42.548273510999998</v>
      </c>
      <c r="BH12" t="str">
        <f t="shared" si="16"/>
        <v>85</v>
      </c>
      <c r="BI12">
        <f t="shared" si="17"/>
        <v>0</v>
      </c>
      <c r="BJ12">
        <f t="shared" si="18"/>
        <v>0</v>
      </c>
      <c r="BK12" s="15">
        <f t="shared" si="19"/>
        <v>50</v>
      </c>
      <c r="BL12" s="15">
        <f t="shared" si="20"/>
        <v>50</v>
      </c>
      <c r="BM12" s="15">
        <f t="shared" si="21"/>
        <v>100</v>
      </c>
      <c r="BN12" s="15">
        <f t="shared" si="22"/>
        <v>100</v>
      </c>
      <c r="BO12">
        <f t="shared" si="23"/>
        <v>50</v>
      </c>
      <c r="BP12" s="15">
        <f t="shared" si="24"/>
        <v>40</v>
      </c>
      <c r="BQ12" s="15">
        <f t="shared" si="25"/>
        <v>80</v>
      </c>
      <c r="BR12">
        <f t="shared" si="26"/>
        <v>20</v>
      </c>
      <c r="BS12">
        <f t="shared" si="27"/>
        <v>0</v>
      </c>
    </row>
    <row r="13" spans="1:71" x14ac:dyDescent="0.25">
      <c r="A13">
        <v>12</v>
      </c>
      <c r="B13" t="s">
        <v>72</v>
      </c>
      <c r="C13" t="s">
        <v>40</v>
      </c>
      <c r="D13" s="1" t="d">
        <v>2017-08-30T10:50:54.99999979510903575</v>
      </c>
      <c r="E13" s="1" t="d">
        <v>2017-08-30T21:31:56.99999989941716325</v>
      </c>
      <c r="F13" t="s">
        <v>73</v>
      </c>
      <c r="G13">
        <v>2</v>
      </c>
      <c r="H13">
        <v>2</v>
      </c>
      <c r="I13">
        <v>2</v>
      </c>
      <c r="J13">
        <v>4</v>
      </c>
      <c r="K13">
        <v>4</v>
      </c>
      <c r="L13">
        <v>5</v>
      </c>
      <c r="M13">
        <v>5</v>
      </c>
      <c r="N13">
        <v>4</v>
      </c>
      <c r="O13">
        <v>1</v>
      </c>
      <c r="P13">
        <v>1</v>
      </c>
      <c r="Q13">
        <v>5</v>
      </c>
      <c r="R13">
        <v>5</v>
      </c>
      <c r="S13">
        <v>2</v>
      </c>
      <c r="T13">
        <v>1</v>
      </c>
      <c r="U13" s="1" t="d">
        <v>2018-02-14T18:24:54.99999994877725725</v>
      </c>
      <c r="V13" s="1" t="d">
        <v>2018-02-14T18:59:16.000000191852450</v>
      </c>
      <c r="W13" t="s">
        <v>74</v>
      </c>
      <c r="X13">
        <v>2</v>
      </c>
      <c r="Y13">
        <v>2</v>
      </c>
      <c r="Z13">
        <v>2</v>
      </c>
      <c r="AA13">
        <v>2</v>
      </c>
      <c r="AB13">
        <v>2</v>
      </c>
      <c r="AC13">
        <v>5</v>
      </c>
      <c r="AD13">
        <v>5</v>
      </c>
      <c r="AE13">
        <v>4</v>
      </c>
      <c r="AF13">
        <v>1</v>
      </c>
      <c r="AG13">
        <v>1</v>
      </c>
      <c r="AH13">
        <v>6</v>
      </c>
      <c r="AI13">
        <v>5</v>
      </c>
      <c r="AJ13">
        <v>1</v>
      </c>
      <c r="AK13">
        <v>1</v>
      </c>
      <c r="AM13" t="str">
        <f t="shared" si="0"/>
        <v>85</v>
      </c>
      <c r="AN13">
        <f t="shared" si="1"/>
        <v>50</v>
      </c>
      <c r="AO13">
        <f t="shared" si="2"/>
        <v>50</v>
      </c>
      <c r="AP13" s="15">
        <f t="shared" si="3"/>
        <v>25</v>
      </c>
      <c r="AQ13" s="15">
        <f t="shared" si="4"/>
        <v>25</v>
      </c>
      <c r="AR13" s="15">
        <f t="shared" si="5"/>
        <v>0</v>
      </c>
      <c r="AS13" s="15">
        <f t="shared" si="6"/>
        <v>0</v>
      </c>
      <c r="AT13">
        <f t="shared" si="7"/>
        <v>25</v>
      </c>
      <c r="AU13" s="15">
        <f t="shared" si="8"/>
        <v>100</v>
      </c>
      <c r="AV13" s="15">
        <f t="shared" si="9"/>
        <v>100</v>
      </c>
      <c r="AW13">
        <f t="shared" si="10"/>
        <v>80</v>
      </c>
      <c r="AX13">
        <f t="shared" si="11"/>
        <v>100</v>
      </c>
      <c r="BB13" s="14">
        <f t="shared" si="12"/>
        <v>36.636676689499993</v>
      </c>
      <c r="BC13" s="14">
        <f t="shared" si="13"/>
        <v>48.066696164</v>
      </c>
      <c r="BE13" s="14">
        <f t="shared" si="14"/>
        <v>42.862027199500005</v>
      </c>
      <c r="BF13" s="14">
        <f t="shared" si="15"/>
        <v>48.562987679999999</v>
      </c>
      <c r="BH13" t="str">
        <f t="shared" si="16"/>
        <v>85</v>
      </c>
      <c r="BI13">
        <f t="shared" si="17"/>
        <v>50</v>
      </c>
      <c r="BJ13">
        <f t="shared" si="18"/>
        <v>50</v>
      </c>
      <c r="BK13" s="15">
        <f t="shared" si="19"/>
        <v>75</v>
      </c>
      <c r="BL13" s="15">
        <f t="shared" si="20"/>
        <v>75</v>
      </c>
      <c r="BM13" s="15">
        <f t="shared" si="21"/>
        <v>0</v>
      </c>
      <c r="BN13" s="15">
        <f t="shared" si="22"/>
        <v>0</v>
      </c>
      <c r="BO13">
        <f t="shared" si="23"/>
        <v>25</v>
      </c>
      <c r="BP13" s="15">
        <f t="shared" si="24"/>
        <v>100</v>
      </c>
      <c r="BQ13" s="15">
        <f t="shared" si="25"/>
        <v>100</v>
      </c>
      <c r="BR13">
        <f t="shared" si="26"/>
        <v>100</v>
      </c>
      <c r="BS13">
        <f t="shared" si="27"/>
        <v>100</v>
      </c>
    </row>
    <row r="14" spans="1:71" x14ac:dyDescent="0.25">
      <c r="A14">
        <v>13</v>
      </c>
      <c r="B14" t="s">
        <v>75</v>
      </c>
      <c r="C14" t="s">
        <v>40</v>
      </c>
      <c r="D14" s="1" t="d">
        <v>2017-08-31T06:45:39.999999920837581350</v>
      </c>
      <c r="E14" s="1" t="d">
        <v>2017-08-31T07:24:09.99999990686774475</v>
      </c>
      <c r="F14" t="s">
        <v>76</v>
      </c>
      <c r="G14">
        <v>4</v>
      </c>
      <c r="H14">
        <v>1</v>
      </c>
      <c r="I14">
        <v>2</v>
      </c>
      <c r="J14">
        <v>3</v>
      </c>
      <c r="K14">
        <v>3</v>
      </c>
      <c r="L14">
        <v>1</v>
      </c>
      <c r="M14">
        <v>1</v>
      </c>
      <c r="N14">
        <v>2</v>
      </c>
      <c r="O14">
        <v>3</v>
      </c>
      <c r="P14">
        <v>5</v>
      </c>
      <c r="Q14">
        <v>2</v>
      </c>
      <c r="R14">
        <v>1</v>
      </c>
      <c r="S14">
        <v>3</v>
      </c>
      <c r="T14">
        <v>2</v>
      </c>
      <c r="AM14" t="str">
        <f t="shared" si="0"/>
        <v>35</v>
      </c>
      <c r="AN14">
        <f t="shared" si="1"/>
        <v>0</v>
      </c>
      <c r="AO14">
        <f t="shared" si="2"/>
        <v>50</v>
      </c>
      <c r="AP14" s="15">
        <f t="shared" si="3"/>
        <v>50</v>
      </c>
      <c r="AQ14" s="15">
        <f t="shared" si="4"/>
        <v>50</v>
      </c>
      <c r="AR14" s="15">
        <f t="shared" si="5"/>
        <v>100</v>
      </c>
      <c r="AS14" s="15">
        <f t="shared" si="6"/>
        <v>100</v>
      </c>
      <c r="AT14">
        <f t="shared" si="7"/>
        <v>75</v>
      </c>
      <c r="AU14" s="15">
        <f t="shared" si="8"/>
        <v>60</v>
      </c>
      <c r="AV14" s="15">
        <f t="shared" si="9"/>
        <v>20</v>
      </c>
      <c r="AW14">
        <f t="shared" si="10"/>
        <v>20</v>
      </c>
      <c r="AX14">
        <f t="shared" si="11"/>
        <v>0</v>
      </c>
      <c r="BB14" s="14">
        <f t="shared" si="12"/>
        <v>32.868915361500001</v>
      </c>
      <c r="BC14" s="14">
        <f t="shared" si="13"/>
        <v>38.428470485999995</v>
      </c>
      <c r="BK14" s="15"/>
      <c r="BL14" s="15"/>
      <c r="BM14" s="15"/>
      <c r="BN14" s="15"/>
      <c r="BP14" s="15"/>
      <c r="BQ14" s="15"/>
    </row>
    <row r="15" spans="1:71" x14ac:dyDescent="0.25">
      <c r="A15">
        <v>14</v>
      </c>
      <c r="B15" t="s">
        <v>77</v>
      </c>
      <c r="C15" t="s">
        <v>40</v>
      </c>
      <c r="D15" s="1" t="d">
        <v>2017-09-06T09:40:37.99999973271042075</v>
      </c>
      <c r="E15" s="1" t="d">
        <v>2017-09-06T11:34:46.00000001024455125</v>
      </c>
      <c r="F15" t="s">
        <v>78</v>
      </c>
      <c r="G15">
        <v>2</v>
      </c>
      <c r="H15">
        <v>3</v>
      </c>
      <c r="I15">
        <v>2</v>
      </c>
      <c r="J15">
        <v>5</v>
      </c>
      <c r="K15">
        <v>5</v>
      </c>
      <c r="L15">
        <v>5</v>
      </c>
      <c r="M15">
        <v>5</v>
      </c>
      <c r="N15">
        <v>3</v>
      </c>
      <c r="O15">
        <v>2</v>
      </c>
      <c r="P15">
        <v>2</v>
      </c>
      <c r="Q15">
        <v>5</v>
      </c>
      <c r="R15">
        <v>5</v>
      </c>
      <c r="S15">
        <v>2</v>
      </c>
      <c r="T15">
        <v>2</v>
      </c>
      <c r="U15" s="1" t="d">
        <v>2018-01-26T20:32:43.99999978020787275</v>
      </c>
      <c r="V15" s="1" t="d">
        <v>2018-02-26T22:05:57.99999986775219525</v>
      </c>
      <c r="W15" t="s">
        <v>79</v>
      </c>
      <c r="X15">
        <v>2</v>
      </c>
      <c r="Y15">
        <v>2</v>
      </c>
      <c r="Z15">
        <v>2</v>
      </c>
      <c r="AA15">
        <v>3</v>
      </c>
      <c r="AB15">
        <v>3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5</v>
      </c>
      <c r="AI15">
        <v>1</v>
      </c>
      <c r="AJ15">
        <v>2</v>
      </c>
      <c r="AK15">
        <v>1</v>
      </c>
      <c r="AM15" t="str">
        <f t="shared" si="0"/>
        <v>85</v>
      </c>
      <c r="AN15">
        <f t="shared" si="1"/>
        <v>100</v>
      </c>
      <c r="AO15">
        <f t="shared" si="2"/>
        <v>50</v>
      </c>
      <c r="AP15" s="15">
        <f t="shared" si="3"/>
        <v>0</v>
      </c>
      <c r="AQ15" s="15">
        <f t="shared" si="4"/>
        <v>0</v>
      </c>
      <c r="AR15" s="15">
        <f t="shared" si="5"/>
        <v>0</v>
      </c>
      <c r="AS15" s="15">
        <f t="shared" si="6"/>
        <v>0</v>
      </c>
      <c r="AT15">
        <f t="shared" si="7"/>
        <v>50</v>
      </c>
      <c r="AU15" s="15">
        <f t="shared" si="8"/>
        <v>80</v>
      </c>
      <c r="AV15" s="15">
        <f t="shared" si="9"/>
        <v>80</v>
      </c>
      <c r="AW15">
        <f t="shared" si="10"/>
        <v>80</v>
      </c>
      <c r="AX15">
        <f t="shared" si="11"/>
        <v>100</v>
      </c>
      <c r="BB15" s="14">
        <f t="shared" si="12"/>
        <v>39.8418088775</v>
      </c>
      <c r="BC15" s="14">
        <f t="shared" si="13"/>
        <v>43.351410031</v>
      </c>
      <c r="BE15" s="14">
        <f t="shared" si="14"/>
        <v>38.120155202500001</v>
      </c>
      <c r="BF15" s="14">
        <f t="shared" si="15"/>
        <v>44.177443988499995</v>
      </c>
      <c r="BH15" t="str">
        <f t="shared" si="16"/>
        <v>85</v>
      </c>
      <c r="BI15">
        <f t="shared" si="17"/>
        <v>50</v>
      </c>
      <c r="BJ15">
        <f t="shared" si="18"/>
        <v>50</v>
      </c>
      <c r="BK15" s="15">
        <f t="shared" si="19"/>
        <v>50</v>
      </c>
      <c r="BL15" s="15">
        <f t="shared" si="20"/>
        <v>50</v>
      </c>
      <c r="BM15" s="15">
        <f t="shared" si="21"/>
        <v>50</v>
      </c>
      <c r="BN15" s="15">
        <f t="shared" si="22"/>
        <v>75</v>
      </c>
      <c r="BO15">
        <f t="shared" si="23"/>
        <v>50</v>
      </c>
      <c r="BP15" s="15">
        <f t="shared" si="24"/>
        <v>80</v>
      </c>
      <c r="BQ15" s="15">
        <f t="shared" si="25"/>
        <v>80</v>
      </c>
      <c r="BR15">
        <f t="shared" si="26"/>
        <v>80</v>
      </c>
      <c r="BS15">
        <f t="shared" si="27"/>
        <v>0</v>
      </c>
    </row>
    <row r="16" spans="1:71" x14ac:dyDescent="0.25">
      <c r="A16">
        <v>15</v>
      </c>
      <c r="B16" t="s">
        <v>80</v>
      </c>
      <c r="C16" t="s">
        <v>40</v>
      </c>
      <c r="D16" s="1" t="d">
        <v>2017-08-30T16:49:36.99999979231506600</v>
      </c>
      <c r="E16" s="1" t="d">
        <v>2017-08-30T17:23:16.99999988079070950</v>
      </c>
      <c r="F16" t="s">
        <v>81</v>
      </c>
      <c r="G16">
        <v>2</v>
      </c>
      <c r="H16">
        <v>2</v>
      </c>
      <c r="I16">
        <v>3</v>
      </c>
      <c r="J16">
        <v>4</v>
      </c>
      <c r="K16">
        <v>4</v>
      </c>
      <c r="L16">
        <v>4</v>
      </c>
      <c r="M16">
        <v>4</v>
      </c>
      <c r="N16">
        <v>4</v>
      </c>
      <c r="O16">
        <v>1</v>
      </c>
      <c r="P16">
        <v>2</v>
      </c>
      <c r="Q16">
        <v>5</v>
      </c>
      <c r="R16">
        <v>4</v>
      </c>
      <c r="S16">
        <v>2</v>
      </c>
      <c r="T16">
        <v>1</v>
      </c>
      <c r="AM16" t="str">
        <f t="shared" si="0"/>
        <v>85</v>
      </c>
      <c r="AN16">
        <f t="shared" si="1"/>
        <v>50</v>
      </c>
      <c r="AO16">
        <f t="shared" si="2"/>
        <v>100</v>
      </c>
      <c r="AP16" s="15">
        <f t="shared" si="3"/>
        <v>25</v>
      </c>
      <c r="AQ16" s="15">
        <f t="shared" si="4"/>
        <v>25</v>
      </c>
      <c r="AR16" s="15">
        <f t="shared" si="5"/>
        <v>25</v>
      </c>
      <c r="AS16" s="15">
        <f t="shared" si="6"/>
        <v>25</v>
      </c>
      <c r="AT16">
        <f t="shared" si="7"/>
        <v>25</v>
      </c>
      <c r="AU16" s="15">
        <f t="shared" si="8"/>
        <v>100</v>
      </c>
      <c r="AV16" s="15">
        <f t="shared" si="9"/>
        <v>80</v>
      </c>
      <c r="AW16">
        <f t="shared" si="10"/>
        <v>80</v>
      </c>
      <c r="AX16">
        <f t="shared" si="11"/>
        <v>75</v>
      </c>
      <c r="BB16" s="14">
        <f t="shared" si="12"/>
        <v>37.417182144999998</v>
      </c>
      <c r="BC16" s="14">
        <f t="shared" si="13"/>
        <v>47.573921921999997</v>
      </c>
      <c r="BK16" s="15"/>
      <c r="BL16" s="15"/>
      <c r="BM16" s="15"/>
      <c r="BN16" s="15"/>
      <c r="BP16" s="15"/>
      <c r="BQ16" s="15"/>
    </row>
    <row r="17" spans="1:71" x14ac:dyDescent="0.25">
      <c r="A17">
        <v>16</v>
      </c>
      <c r="B17" t="s">
        <v>82</v>
      </c>
      <c r="C17" t="s">
        <v>40</v>
      </c>
      <c r="D17" s="1" t="d">
        <v>2017-08-30T17:13:11.00000029429793550</v>
      </c>
      <c r="E17" s="1" t="d">
        <v>2017-08-30T19:25:00.99999988451600025</v>
      </c>
      <c r="F17" t="s">
        <v>83</v>
      </c>
      <c r="G17">
        <v>2</v>
      </c>
      <c r="H17">
        <v>1</v>
      </c>
      <c r="I17">
        <v>1</v>
      </c>
      <c r="J17">
        <v>2</v>
      </c>
      <c r="K17">
        <v>2</v>
      </c>
      <c r="L17">
        <v>3</v>
      </c>
      <c r="M17">
        <v>3</v>
      </c>
      <c r="N17">
        <v>3</v>
      </c>
      <c r="O17">
        <v>2</v>
      </c>
      <c r="P17">
        <v>3</v>
      </c>
      <c r="Q17">
        <v>5</v>
      </c>
      <c r="R17">
        <v>3</v>
      </c>
      <c r="S17">
        <v>1</v>
      </c>
      <c r="T17">
        <v>2</v>
      </c>
      <c r="U17" s="1" t="d">
        <v>2018-01-29T17:44:03.99999969173222925</v>
      </c>
      <c r="V17" s="1" t="d">
        <v>2018-01-29T18:28:05.99999996367842025</v>
      </c>
      <c r="W17" t="s">
        <v>84</v>
      </c>
      <c r="X17">
        <v>2</v>
      </c>
      <c r="Y17">
        <v>1</v>
      </c>
      <c r="Z17">
        <v>1</v>
      </c>
      <c r="AA17">
        <v>1</v>
      </c>
      <c r="AB17">
        <v>1</v>
      </c>
      <c r="AC17">
        <v>2</v>
      </c>
      <c r="AD17">
        <v>2</v>
      </c>
      <c r="AE17">
        <v>2</v>
      </c>
      <c r="AF17">
        <v>4</v>
      </c>
      <c r="AG17">
        <v>3</v>
      </c>
      <c r="AH17">
        <v>3</v>
      </c>
      <c r="AI17">
        <v>3</v>
      </c>
      <c r="AJ17">
        <v>3</v>
      </c>
      <c r="AK17">
        <v>4</v>
      </c>
      <c r="AM17" t="str">
        <f t="shared" si="0"/>
        <v>85</v>
      </c>
      <c r="AN17">
        <f t="shared" si="1"/>
        <v>0</v>
      </c>
      <c r="AO17">
        <f t="shared" si="2"/>
        <v>0</v>
      </c>
      <c r="AP17" s="15">
        <f t="shared" si="3"/>
        <v>75</v>
      </c>
      <c r="AQ17" s="15">
        <f t="shared" si="4"/>
        <v>75</v>
      </c>
      <c r="AR17" s="15">
        <f t="shared" si="5"/>
        <v>50</v>
      </c>
      <c r="AS17" s="15">
        <f t="shared" si="6"/>
        <v>50</v>
      </c>
      <c r="AT17">
        <f t="shared" si="7"/>
        <v>50</v>
      </c>
      <c r="AU17" s="15">
        <f t="shared" si="8"/>
        <v>80</v>
      </c>
      <c r="AV17" s="15">
        <f t="shared" si="9"/>
        <v>60</v>
      </c>
      <c r="AW17">
        <f t="shared" si="10"/>
        <v>80</v>
      </c>
      <c r="AX17">
        <f t="shared" si="11"/>
        <v>50</v>
      </c>
      <c r="BB17" s="14">
        <f t="shared" si="12"/>
        <v>35.209275230499998</v>
      </c>
      <c r="BC17" s="14">
        <f t="shared" si="13"/>
        <v>48.303910498999997</v>
      </c>
      <c r="BE17" s="14">
        <f t="shared" si="14"/>
        <v>43.789237640500005</v>
      </c>
      <c r="BF17" s="14">
        <f t="shared" si="15"/>
        <v>41.286448607499999</v>
      </c>
      <c r="BH17" t="str">
        <f t="shared" si="16"/>
        <v>85</v>
      </c>
      <c r="BI17">
        <f t="shared" si="17"/>
        <v>0</v>
      </c>
      <c r="BJ17">
        <f t="shared" si="18"/>
        <v>0</v>
      </c>
      <c r="BK17" s="15">
        <f t="shared" si="19"/>
        <v>100</v>
      </c>
      <c r="BL17" s="15">
        <f t="shared" si="20"/>
        <v>100</v>
      </c>
      <c r="BM17" s="15">
        <f t="shared" si="21"/>
        <v>75</v>
      </c>
      <c r="BN17" s="15">
        <f t="shared" si="22"/>
        <v>75</v>
      </c>
      <c r="BO17">
        <f t="shared" si="23"/>
        <v>75</v>
      </c>
      <c r="BP17" s="15">
        <f t="shared" si="24"/>
        <v>40</v>
      </c>
      <c r="BQ17" s="15">
        <f t="shared" si="25"/>
        <v>60</v>
      </c>
      <c r="BR17">
        <f t="shared" si="26"/>
        <v>40</v>
      </c>
      <c r="BS17">
        <f t="shared" si="27"/>
        <v>50</v>
      </c>
    </row>
    <row r="18" spans="1:71" x14ac:dyDescent="0.25">
      <c r="A18">
        <v>17</v>
      </c>
      <c r="B18" t="s">
        <v>85</v>
      </c>
      <c r="C18" t="s">
        <v>40</v>
      </c>
      <c r="D18" s="1" t="d">
        <v>2017-10-17T08:14:56.99999992735684050</v>
      </c>
      <c r="E18" s="1" t="d">
        <v>2017-10-17T08:46:01.00000001024455125</v>
      </c>
      <c r="F18" t="s">
        <v>86</v>
      </c>
      <c r="G18">
        <v>2</v>
      </c>
      <c r="H18">
        <v>1</v>
      </c>
      <c r="I18">
        <v>2</v>
      </c>
      <c r="J18">
        <v>1</v>
      </c>
      <c r="K18">
        <v>1</v>
      </c>
      <c r="L18">
        <v>2</v>
      </c>
      <c r="M18">
        <v>1</v>
      </c>
      <c r="N18">
        <v>3</v>
      </c>
      <c r="O18">
        <v>2</v>
      </c>
      <c r="P18">
        <v>3</v>
      </c>
      <c r="Q18">
        <v>5</v>
      </c>
      <c r="R18">
        <v>4</v>
      </c>
      <c r="S18">
        <v>3</v>
      </c>
      <c r="T18">
        <v>3</v>
      </c>
      <c r="AM18" t="str">
        <f t="shared" si="0"/>
        <v>85</v>
      </c>
      <c r="AN18">
        <f t="shared" si="1"/>
        <v>0</v>
      </c>
      <c r="AO18">
        <f t="shared" si="2"/>
        <v>50</v>
      </c>
      <c r="AP18" s="15">
        <f t="shared" si="3"/>
        <v>100</v>
      </c>
      <c r="AQ18" s="15">
        <f t="shared" si="4"/>
        <v>100</v>
      </c>
      <c r="AR18" s="15">
        <f t="shared" si="5"/>
        <v>75</v>
      </c>
      <c r="AS18" s="15">
        <f t="shared" si="6"/>
        <v>100</v>
      </c>
      <c r="AT18">
        <f t="shared" si="7"/>
        <v>50</v>
      </c>
      <c r="AU18" s="15">
        <f t="shared" si="8"/>
        <v>80</v>
      </c>
      <c r="AV18" s="15">
        <f t="shared" si="9"/>
        <v>60</v>
      </c>
      <c r="AW18">
        <f t="shared" si="10"/>
        <v>80</v>
      </c>
      <c r="AX18">
        <f t="shared" si="11"/>
        <v>75</v>
      </c>
      <c r="BB18" s="14">
        <f t="shared" si="12"/>
        <v>39.659219543000006</v>
      </c>
      <c r="BC18" s="14">
        <f t="shared" si="13"/>
        <v>55.404516466499992</v>
      </c>
      <c r="BK18" s="15"/>
      <c r="BL18" s="15"/>
      <c r="BM18" s="15"/>
      <c r="BN18" s="15"/>
      <c r="BP18" s="15"/>
      <c r="BQ18" s="15"/>
    </row>
    <row r="19" spans="1:71" x14ac:dyDescent="0.25">
      <c r="A19">
        <v>18</v>
      </c>
      <c r="B19" t="s">
        <v>87</v>
      </c>
      <c r="C19" t="s">
        <v>40</v>
      </c>
      <c r="D19" s="1" t="d">
        <v>2017-10-15T09:44:07.99999978858977525</v>
      </c>
      <c r="E19" s="1" t="d">
        <v>2017-10-15T10:36:47.00000021606683650</v>
      </c>
      <c r="F19" t="s">
        <v>88</v>
      </c>
      <c r="G19">
        <v>2</v>
      </c>
      <c r="H19">
        <v>1</v>
      </c>
      <c r="I19">
        <v>2</v>
      </c>
      <c r="J19">
        <v>3</v>
      </c>
      <c r="K19">
        <v>3</v>
      </c>
      <c r="L19">
        <v>1</v>
      </c>
      <c r="M19">
        <v>1</v>
      </c>
      <c r="N19">
        <v>3</v>
      </c>
      <c r="O19">
        <v>1</v>
      </c>
      <c r="P19">
        <v>4</v>
      </c>
      <c r="Q19">
        <v>4</v>
      </c>
      <c r="R19">
        <v>4</v>
      </c>
      <c r="S19">
        <v>3</v>
      </c>
      <c r="T19">
        <v>2</v>
      </c>
      <c r="U19" s="1" t="d">
        <v>2018-02-22T15:42:16.00000001024455125</v>
      </c>
      <c r="V19" s="1" t="d">
        <v>2018-02-22T16:19:34.000000138767063900</v>
      </c>
      <c r="W19" t="s">
        <v>89</v>
      </c>
      <c r="X19">
        <v>2</v>
      </c>
      <c r="Y19">
        <v>1</v>
      </c>
      <c r="Z19">
        <v>2</v>
      </c>
      <c r="AA19">
        <v>2</v>
      </c>
      <c r="AB19">
        <v>2</v>
      </c>
      <c r="AC19">
        <v>3</v>
      </c>
      <c r="AD19">
        <v>3</v>
      </c>
      <c r="AE19">
        <v>2</v>
      </c>
      <c r="AF19">
        <v>3</v>
      </c>
      <c r="AG19">
        <v>2</v>
      </c>
      <c r="AH19">
        <v>2</v>
      </c>
      <c r="AI19">
        <v>3</v>
      </c>
      <c r="AJ19">
        <v>3</v>
      </c>
      <c r="AK19">
        <v>4</v>
      </c>
      <c r="AM19" t="str">
        <f t="shared" si="0"/>
        <v>85</v>
      </c>
      <c r="AN19">
        <f t="shared" si="1"/>
        <v>0</v>
      </c>
      <c r="AO19">
        <f t="shared" si="2"/>
        <v>50</v>
      </c>
      <c r="AP19" s="15">
        <f t="shared" si="3"/>
        <v>50</v>
      </c>
      <c r="AQ19" s="15">
        <f t="shared" si="4"/>
        <v>50</v>
      </c>
      <c r="AR19" s="15">
        <f t="shared" si="5"/>
        <v>100</v>
      </c>
      <c r="AS19" s="15">
        <f t="shared" si="6"/>
        <v>100</v>
      </c>
      <c r="AT19">
        <f t="shared" si="7"/>
        <v>50</v>
      </c>
      <c r="AU19" s="15">
        <f t="shared" si="8"/>
        <v>100</v>
      </c>
      <c r="AV19" s="15">
        <f t="shared" si="9"/>
        <v>40</v>
      </c>
      <c r="AW19">
        <f t="shared" si="10"/>
        <v>60</v>
      </c>
      <c r="AX19">
        <f t="shared" si="11"/>
        <v>75</v>
      </c>
      <c r="BB19" s="14">
        <f t="shared" si="12"/>
        <v>30.546295936</v>
      </c>
      <c r="BC19" s="14">
        <f t="shared" si="13"/>
        <v>58.875004659499993</v>
      </c>
      <c r="BE19" s="14">
        <f t="shared" si="14"/>
        <v>46.949815182499997</v>
      </c>
      <c r="BF19" s="14">
        <f t="shared" si="15"/>
        <v>36.353408171999995</v>
      </c>
      <c r="BH19" t="str">
        <f t="shared" si="16"/>
        <v>85</v>
      </c>
      <c r="BI19">
        <f t="shared" si="17"/>
        <v>0</v>
      </c>
      <c r="BJ19">
        <f t="shared" si="18"/>
        <v>50</v>
      </c>
      <c r="BK19" s="15">
        <f t="shared" si="19"/>
        <v>75</v>
      </c>
      <c r="BL19" s="15">
        <f t="shared" si="20"/>
        <v>75</v>
      </c>
      <c r="BM19" s="15">
        <f t="shared" si="21"/>
        <v>50</v>
      </c>
      <c r="BN19" s="15">
        <f t="shared" si="22"/>
        <v>50</v>
      </c>
      <c r="BO19">
        <f t="shared" si="23"/>
        <v>75</v>
      </c>
      <c r="BP19" s="15">
        <f t="shared" si="24"/>
        <v>60</v>
      </c>
      <c r="BQ19" s="15">
        <f t="shared" si="25"/>
        <v>80</v>
      </c>
      <c r="BR19">
        <f t="shared" si="26"/>
        <v>20</v>
      </c>
      <c r="BS19">
        <f t="shared" si="27"/>
        <v>50</v>
      </c>
    </row>
    <row r="20" spans="1:71" x14ac:dyDescent="0.25">
      <c r="A20">
        <v>19</v>
      </c>
      <c r="B20" t="s">
        <v>90</v>
      </c>
      <c r="C20" t="s">
        <v>40</v>
      </c>
      <c r="D20" s="1" t="d">
        <v>2017-10-16T15:14:00.99999982863664575</v>
      </c>
      <c r="E20" s="1" t="d">
        <v>2017-10-17T07:03:10.0000002002343525</v>
      </c>
      <c r="F20" t="s">
        <v>91</v>
      </c>
      <c r="G20">
        <v>3</v>
      </c>
      <c r="H20">
        <v>1</v>
      </c>
      <c r="I20">
        <v>1</v>
      </c>
      <c r="J20">
        <v>3</v>
      </c>
      <c r="K20">
        <v>4</v>
      </c>
      <c r="L20">
        <v>3</v>
      </c>
      <c r="M20">
        <v>2</v>
      </c>
      <c r="N20">
        <v>3</v>
      </c>
      <c r="O20">
        <v>4</v>
      </c>
      <c r="P20">
        <v>4</v>
      </c>
      <c r="Q20">
        <v>3</v>
      </c>
      <c r="R20">
        <v>3</v>
      </c>
      <c r="S20">
        <v>3</v>
      </c>
      <c r="T20">
        <v>2</v>
      </c>
      <c r="U20" s="1" t="d">
        <v>2018-03-19T11:50:04.00000023655593225</v>
      </c>
      <c r="V20" s="1" t="d">
        <v>2018-03-19T12:21:56.99999982956796675</v>
      </c>
      <c r="W20" t="s">
        <v>92</v>
      </c>
      <c r="X20">
        <v>3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2</v>
      </c>
      <c r="AG20">
        <v>3</v>
      </c>
      <c r="AH20">
        <v>3</v>
      </c>
      <c r="AI20">
        <v>3</v>
      </c>
      <c r="AJ20">
        <v>3</v>
      </c>
      <c r="AK20">
        <v>3</v>
      </c>
      <c r="AM20" t="str">
        <f t="shared" si="0"/>
        <v>60</v>
      </c>
      <c r="AN20">
        <f t="shared" si="1"/>
        <v>0</v>
      </c>
      <c r="AO20">
        <f t="shared" si="2"/>
        <v>0</v>
      </c>
      <c r="AP20" s="15">
        <f t="shared" si="3"/>
        <v>50</v>
      </c>
      <c r="AQ20" s="15">
        <f t="shared" si="4"/>
        <v>25</v>
      </c>
      <c r="AR20" s="15">
        <f t="shared" si="5"/>
        <v>50</v>
      </c>
      <c r="AS20" s="15">
        <f t="shared" si="6"/>
        <v>75</v>
      </c>
      <c r="AT20">
        <f t="shared" si="7"/>
        <v>50</v>
      </c>
      <c r="AU20" s="15">
        <f t="shared" si="8"/>
        <v>40</v>
      </c>
      <c r="AV20" s="15">
        <f t="shared" si="9"/>
        <v>40</v>
      </c>
      <c r="AW20">
        <f t="shared" si="10"/>
        <v>40</v>
      </c>
      <c r="AX20">
        <f t="shared" si="11"/>
        <v>50</v>
      </c>
      <c r="BB20" s="14">
        <f t="shared" si="12"/>
        <v>30.177680895999998</v>
      </c>
      <c r="BC20" s="14">
        <f t="shared" si="13"/>
        <v>40.4705280505</v>
      </c>
      <c r="BE20" s="14">
        <f t="shared" si="14"/>
        <v>41.239146347999998</v>
      </c>
      <c r="BF20" s="14">
        <f t="shared" si="15"/>
        <v>50.265363696999998</v>
      </c>
      <c r="BH20" t="str">
        <f t="shared" si="16"/>
        <v>60</v>
      </c>
      <c r="BI20">
        <f t="shared" si="17"/>
        <v>0</v>
      </c>
      <c r="BJ20">
        <f t="shared" si="18"/>
        <v>0</v>
      </c>
      <c r="BK20" s="15">
        <f t="shared" si="19"/>
        <v>100</v>
      </c>
      <c r="BL20" s="15">
        <f t="shared" si="20"/>
        <v>100</v>
      </c>
      <c r="BM20" s="15">
        <f t="shared" si="21"/>
        <v>100</v>
      </c>
      <c r="BN20" s="15">
        <f t="shared" si="22"/>
        <v>100</v>
      </c>
      <c r="BO20">
        <f t="shared" si="23"/>
        <v>100</v>
      </c>
      <c r="BP20" s="15">
        <f t="shared" si="24"/>
        <v>80</v>
      </c>
      <c r="BQ20" s="15">
        <f t="shared" si="25"/>
        <v>60</v>
      </c>
      <c r="BR20">
        <f t="shared" si="26"/>
        <v>40</v>
      </c>
      <c r="BS20">
        <f t="shared" si="27"/>
        <v>50</v>
      </c>
    </row>
    <row r="21" spans="1:71" x14ac:dyDescent="0.25">
      <c r="A21">
        <v>20</v>
      </c>
      <c r="B21" t="s">
        <v>93</v>
      </c>
      <c r="C21" t="s">
        <v>40</v>
      </c>
      <c r="D21" s="1" t="d">
        <v>2017-10-06T14:07:19.99999996740371100</v>
      </c>
      <c r="E21" s="1" t="d">
        <v>2017-10-06T15:01:40.00000011641532075</v>
      </c>
      <c r="F21" t="s">
        <v>94</v>
      </c>
      <c r="G21">
        <v>2</v>
      </c>
      <c r="H21">
        <v>2</v>
      </c>
      <c r="I21">
        <v>1</v>
      </c>
      <c r="J21">
        <v>1</v>
      </c>
      <c r="K21">
        <v>1</v>
      </c>
      <c r="L21">
        <v>5</v>
      </c>
      <c r="M21">
        <v>5</v>
      </c>
      <c r="N21">
        <v>1</v>
      </c>
      <c r="O21">
        <v>1</v>
      </c>
      <c r="P21">
        <v>1</v>
      </c>
      <c r="Q21">
        <v>5</v>
      </c>
      <c r="R21">
        <v>4</v>
      </c>
      <c r="S21">
        <v>2</v>
      </c>
      <c r="T21">
        <v>2</v>
      </c>
      <c r="U21" s="1" t="d">
        <v>2018-03-02T11:54:33.0000002542510650</v>
      </c>
      <c r="V21" s="1" t="d">
        <v>2018-03-02T12:30:00.00000020954757600</v>
      </c>
      <c r="W21" t="s">
        <v>95</v>
      </c>
      <c r="X21">
        <v>2</v>
      </c>
      <c r="Y21">
        <v>2</v>
      </c>
      <c r="Z21">
        <v>1</v>
      </c>
      <c r="AA21">
        <v>4</v>
      </c>
      <c r="AB21">
        <v>4</v>
      </c>
      <c r="AC21">
        <v>4</v>
      </c>
      <c r="AD21">
        <v>3</v>
      </c>
      <c r="AE21">
        <v>2</v>
      </c>
      <c r="AF21">
        <v>3</v>
      </c>
      <c r="AG21">
        <v>2</v>
      </c>
      <c r="AH21">
        <v>2</v>
      </c>
      <c r="AI21">
        <v>3</v>
      </c>
      <c r="AJ21">
        <v>3</v>
      </c>
      <c r="AK21">
        <v>4</v>
      </c>
      <c r="AM21" t="str">
        <f t="shared" si="0"/>
        <v>85</v>
      </c>
      <c r="AN21">
        <f t="shared" si="1"/>
        <v>50</v>
      </c>
      <c r="AO21">
        <f t="shared" si="2"/>
        <v>0</v>
      </c>
      <c r="AP21" s="15">
        <f t="shared" si="3"/>
        <v>100</v>
      </c>
      <c r="AQ21" s="15">
        <f t="shared" si="4"/>
        <v>100</v>
      </c>
      <c r="AR21" s="15">
        <f t="shared" si="5"/>
        <v>0</v>
      </c>
      <c r="AS21" s="15">
        <f t="shared" si="6"/>
        <v>0</v>
      </c>
      <c r="AT21">
        <f t="shared" si="7"/>
        <v>100</v>
      </c>
      <c r="AU21" s="15">
        <f t="shared" si="8"/>
        <v>100</v>
      </c>
      <c r="AV21" s="15">
        <f t="shared" si="9"/>
        <v>100</v>
      </c>
      <c r="AW21">
        <f t="shared" si="10"/>
        <v>80</v>
      </c>
      <c r="AX21">
        <f t="shared" si="11"/>
        <v>75</v>
      </c>
      <c r="BB21" s="14">
        <f t="shared" si="12"/>
        <v>53.766643967000007</v>
      </c>
      <c r="BC21" s="14">
        <f t="shared" si="13"/>
        <v>41.366434821499993</v>
      </c>
      <c r="BE21" s="14">
        <f t="shared" si="14"/>
        <v>40.608567172499995</v>
      </c>
      <c r="BF21" s="14">
        <f t="shared" si="15"/>
        <v>35.481466716999996</v>
      </c>
      <c r="BH21" t="str">
        <f t="shared" si="16"/>
        <v>85</v>
      </c>
      <c r="BI21">
        <f t="shared" si="17"/>
        <v>50</v>
      </c>
      <c r="BJ21">
        <f t="shared" si="18"/>
        <v>0</v>
      </c>
      <c r="BK21" s="15">
        <f t="shared" si="19"/>
        <v>25</v>
      </c>
      <c r="BL21" s="15">
        <f t="shared" si="20"/>
        <v>25</v>
      </c>
      <c r="BM21" s="15">
        <f t="shared" si="21"/>
        <v>25</v>
      </c>
      <c r="BN21" s="15">
        <f t="shared" si="22"/>
        <v>50</v>
      </c>
      <c r="BO21">
        <f t="shared" si="23"/>
        <v>75</v>
      </c>
      <c r="BP21" s="15">
        <f t="shared" si="24"/>
        <v>60</v>
      </c>
      <c r="BQ21" s="15">
        <f t="shared" si="25"/>
        <v>80</v>
      </c>
      <c r="BR21">
        <f t="shared" si="26"/>
        <v>20</v>
      </c>
      <c r="BS21">
        <f t="shared" si="27"/>
        <v>50</v>
      </c>
    </row>
    <row r="22" spans="1:71" x14ac:dyDescent="0.25">
      <c r="A22">
        <v>21</v>
      </c>
      <c r="B22" t="s">
        <v>96</v>
      </c>
      <c r="C22" t="s">
        <v>40</v>
      </c>
      <c r="D22" s="1" t="d">
        <v>2017-10-11T10:06:43.99999993387609425</v>
      </c>
      <c r="E22" s="1" t="d">
        <v>2017-10-11T10:50:22.00000025331973725</v>
      </c>
      <c r="F22" t="s">
        <v>97</v>
      </c>
      <c r="G22">
        <v>3</v>
      </c>
      <c r="H22">
        <v>2</v>
      </c>
      <c r="I22">
        <v>2</v>
      </c>
      <c r="J22">
        <v>4</v>
      </c>
      <c r="K22">
        <v>4</v>
      </c>
      <c r="L22">
        <v>4</v>
      </c>
      <c r="M22">
        <v>3</v>
      </c>
      <c r="N22">
        <v>2</v>
      </c>
      <c r="O22">
        <v>3</v>
      </c>
      <c r="P22">
        <v>2</v>
      </c>
      <c r="Q22">
        <v>3</v>
      </c>
      <c r="R22">
        <v>3</v>
      </c>
      <c r="S22">
        <v>3</v>
      </c>
      <c r="T22">
        <v>3</v>
      </c>
      <c r="U22" s="1" t="d">
        <v>2018-03-25T20:16:24.00000014808028875</v>
      </c>
      <c r="V22" s="1" t="d">
        <v>2018-03-25T20:58:32.00000017415732400</v>
      </c>
      <c r="W22" t="s">
        <v>98</v>
      </c>
      <c r="X22">
        <v>3</v>
      </c>
      <c r="Y22">
        <v>3</v>
      </c>
      <c r="Z22">
        <v>3</v>
      </c>
      <c r="AA22">
        <v>3</v>
      </c>
      <c r="AB22">
        <v>4</v>
      </c>
      <c r="AC22">
        <v>4</v>
      </c>
      <c r="AD22">
        <v>1</v>
      </c>
      <c r="AE22">
        <v>2</v>
      </c>
      <c r="AF22">
        <v>3</v>
      </c>
      <c r="AG22">
        <v>1</v>
      </c>
      <c r="AH22">
        <v>2</v>
      </c>
      <c r="AI22">
        <v>3</v>
      </c>
      <c r="AJ22">
        <v>2</v>
      </c>
      <c r="AK22">
        <v>4</v>
      </c>
      <c r="AM22" t="str">
        <f t="shared" si="0"/>
        <v>60</v>
      </c>
      <c r="AN22">
        <f t="shared" si="1"/>
        <v>50</v>
      </c>
      <c r="AO22">
        <f t="shared" si="2"/>
        <v>50</v>
      </c>
      <c r="AP22" s="15">
        <f t="shared" si="3"/>
        <v>25</v>
      </c>
      <c r="AQ22" s="15">
        <f t="shared" si="4"/>
        <v>25</v>
      </c>
      <c r="AR22" s="15">
        <f t="shared" si="5"/>
        <v>25</v>
      </c>
      <c r="AS22" s="15">
        <f t="shared" si="6"/>
        <v>50</v>
      </c>
      <c r="AT22">
        <f t="shared" si="7"/>
        <v>75</v>
      </c>
      <c r="AU22" s="15">
        <f t="shared" si="8"/>
        <v>60</v>
      </c>
      <c r="AV22" s="15">
        <f t="shared" si="9"/>
        <v>80</v>
      </c>
      <c r="AW22">
        <f t="shared" si="10"/>
        <v>40</v>
      </c>
      <c r="AX22">
        <f t="shared" si="11"/>
        <v>50</v>
      </c>
      <c r="BB22" s="14">
        <f t="shared" si="12"/>
        <v>41.326816559999997</v>
      </c>
      <c r="BC22" s="14">
        <f t="shared" si="13"/>
        <v>36.913085758000001</v>
      </c>
      <c r="BE22" s="14">
        <f t="shared" si="14"/>
        <v>50.167449906999991</v>
      </c>
      <c r="BF22" s="14">
        <f t="shared" si="15"/>
        <v>35.374541389000001</v>
      </c>
      <c r="BH22" t="str">
        <f t="shared" si="16"/>
        <v>60</v>
      </c>
      <c r="BI22">
        <f t="shared" si="17"/>
        <v>100</v>
      </c>
      <c r="BJ22">
        <f t="shared" si="18"/>
        <v>100</v>
      </c>
      <c r="BK22" s="15">
        <f t="shared" si="19"/>
        <v>50</v>
      </c>
      <c r="BL22" s="15">
        <f t="shared" si="20"/>
        <v>25</v>
      </c>
      <c r="BM22" s="15">
        <f t="shared" si="21"/>
        <v>25</v>
      </c>
      <c r="BN22" s="15">
        <f t="shared" si="22"/>
        <v>100</v>
      </c>
      <c r="BO22">
        <f t="shared" si="23"/>
        <v>75</v>
      </c>
      <c r="BP22" s="15">
        <f t="shared" si="24"/>
        <v>60</v>
      </c>
      <c r="BQ22" s="15">
        <f t="shared" si="25"/>
        <v>100</v>
      </c>
      <c r="BR22">
        <f t="shared" si="26"/>
        <v>20</v>
      </c>
      <c r="BS22">
        <f t="shared" si="27"/>
        <v>50</v>
      </c>
    </row>
    <row r="23" spans="1:71" x14ac:dyDescent="0.25">
      <c r="A23">
        <v>22</v>
      </c>
      <c r="B23" t="s">
        <v>99</v>
      </c>
      <c r="C23" t="s">
        <v>40</v>
      </c>
      <c r="D23" s="1" t="d">
        <v>2017-10-16T12:29:19.00000005494803350</v>
      </c>
      <c r="E23" s="1" t="d">
        <v>2017-10-16T16:39:04.99999978579580550</v>
      </c>
      <c r="F23" t="s">
        <v>100</v>
      </c>
      <c r="G23">
        <v>2</v>
      </c>
      <c r="H23">
        <v>2</v>
      </c>
      <c r="I23">
        <v>2</v>
      </c>
      <c r="J23">
        <v>3</v>
      </c>
      <c r="K23">
        <v>5</v>
      </c>
      <c r="L23">
        <v>2</v>
      </c>
      <c r="M23">
        <v>1</v>
      </c>
      <c r="N23">
        <v>5</v>
      </c>
      <c r="O23">
        <v>1</v>
      </c>
      <c r="P23">
        <v>1</v>
      </c>
      <c r="Q23">
        <v>3</v>
      </c>
      <c r="R23">
        <v>5</v>
      </c>
      <c r="S23">
        <v>4</v>
      </c>
      <c r="T23">
        <v>3</v>
      </c>
      <c r="U23" s="1" t="d">
        <v>2018-02-20T08:08:45.99999995436519675</v>
      </c>
      <c r="V23" s="1" t="d">
        <v>2018-02-20T09:17:11.00000023841858100</v>
      </c>
      <c r="W23" t="s">
        <v>101</v>
      </c>
      <c r="X23">
        <v>1</v>
      </c>
      <c r="Y23">
        <v>2</v>
      </c>
      <c r="Z23">
        <v>2</v>
      </c>
      <c r="AA23">
        <v>5</v>
      </c>
      <c r="AB23">
        <v>5</v>
      </c>
      <c r="AC23">
        <v>3</v>
      </c>
      <c r="AD23">
        <v>1</v>
      </c>
      <c r="AE23">
        <v>5</v>
      </c>
      <c r="AF23">
        <v>2</v>
      </c>
      <c r="AG23">
        <v>1</v>
      </c>
      <c r="AH23">
        <v>5</v>
      </c>
      <c r="AI23">
        <v>4</v>
      </c>
      <c r="AJ23">
        <v>2</v>
      </c>
      <c r="AK23">
        <v>3</v>
      </c>
      <c r="AM23" t="str">
        <f t="shared" si="0"/>
        <v>85</v>
      </c>
      <c r="AN23">
        <f t="shared" si="1"/>
        <v>50</v>
      </c>
      <c r="AO23">
        <f t="shared" si="2"/>
        <v>50</v>
      </c>
      <c r="AP23" s="15">
        <f t="shared" si="3"/>
        <v>50</v>
      </c>
      <c r="AQ23" s="15">
        <f t="shared" si="4"/>
        <v>0</v>
      </c>
      <c r="AR23" s="15">
        <f t="shared" si="5"/>
        <v>75</v>
      </c>
      <c r="AS23" s="15">
        <f t="shared" si="6"/>
        <v>100</v>
      </c>
      <c r="AT23">
        <f t="shared" si="7"/>
        <v>0</v>
      </c>
      <c r="AU23" s="15">
        <f t="shared" si="8"/>
        <v>100</v>
      </c>
      <c r="AV23" s="15">
        <f t="shared" si="9"/>
        <v>100</v>
      </c>
      <c r="AW23">
        <f t="shared" si="10"/>
        <v>40</v>
      </c>
      <c r="AX23">
        <f t="shared" si="11"/>
        <v>100</v>
      </c>
      <c r="BB23" s="14">
        <f t="shared" si="12"/>
        <v>27.813628394499997</v>
      </c>
      <c r="BC23" s="14">
        <f t="shared" si="13"/>
        <v>60.276485711999996</v>
      </c>
      <c r="BE23" s="14">
        <f t="shared" si="14"/>
        <v>25.440978408499998</v>
      </c>
      <c r="BF23" s="14">
        <f t="shared" si="15"/>
        <v>59.42691939049999</v>
      </c>
      <c r="BH23" t="str">
        <f t="shared" si="16"/>
        <v>100</v>
      </c>
      <c r="BI23">
        <f t="shared" si="17"/>
        <v>50</v>
      </c>
      <c r="BJ23">
        <f t="shared" si="18"/>
        <v>50</v>
      </c>
      <c r="BK23" s="15">
        <f t="shared" si="19"/>
        <v>0</v>
      </c>
      <c r="BL23" s="15">
        <f t="shared" si="20"/>
        <v>0</v>
      </c>
      <c r="BM23" s="15">
        <f t="shared" si="21"/>
        <v>50</v>
      </c>
      <c r="BN23" s="15">
        <f t="shared" si="22"/>
        <v>100</v>
      </c>
      <c r="BO23">
        <f t="shared" si="23"/>
        <v>0</v>
      </c>
      <c r="BP23" s="15">
        <f t="shared" si="24"/>
        <v>80</v>
      </c>
      <c r="BQ23" s="15">
        <f t="shared" si="25"/>
        <v>100</v>
      </c>
      <c r="BR23">
        <f t="shared" si="26"/>
        <v>80</v>
      </c>
      <c r="BS23">
        <f t="shared" si="27"/>
        <v>75</v>
      </c>
    </row>
    <row r="24" spans="1:71" x14ac:dyDescent="0.25">
      <c r="A24">
        <v>23</v>
      </c>
      <c r="B24" t="s">
        <v>102</v>
      </c>
      <c r="C24" t="s">
        <v>40</v>
      </c>
      <c r="D24" s="1" t="d">
        <v>2017-10-06T20:40:12.99999975599348625</v>
      </c>
      <c r="E24" s="1" t="d">
        <v>2017-10-07T04:11:16.00000002421438650</v>
      </c>
      <c r="F24" t="s">
        <v>103</v>
      </c>
      <c r="G24">
        <v>3</v>
      </c>
      <c r="H24">
        <v>1</v>
      </c>
      <c r="I24">
        <v>2</v>
      </c>
      <c r="J24">
        <v>3</v>
      </c>
      <c r="K24">
        <v>2</v>
      </c>
      <c r="L24">
        <v>3</v>
      </c>
      <c r="M24">
        <v>3</v>
      </c>
      <c r="N24">
        <v>3</v>
      </c>
      <c r="O24">
        <v>2</v>
      </c>
      <c r="P24">
        <v>2</v>
      </c>
      <c r="Q24">
        <v>3</v>
      </c>
      <c r="R24">
        <v>4</v>
      </c>
      <c r="S24">
        <v>3</v>
      </c>
      <c r="T24">
        <v>3</v>
      </c>
      <c r="U24" s="1" t="d">
        <v>2018-04-22T16:20:28.00000018905848025</v>
      </c>
      <c r="V24" s="1" t="d">
        <v>2018-04-22T18:16:09.99999980907887100</v>
      </c>
      <c r="W24" t="s">
        <v>104</v>
      </c>
      <c r="X24">
        <v>4</v>
      </c>
      <c r="Y24">
        <v>2</v>
      </c>
      <c r="Z24">
        <v>2</v>
      </c>
      <c r="AA24">
        <v>3</v>
      </c>
      <c r="AB24">
        <v>3</v>
      </c>
      <c r="AC24">
        <v>2</v>
      </c>
      <c r="AD24">
        <v>1</v>
      </c>
      <c r="AE24">
        <v>3</v>
      </c>
      <c r="AF24">
        <v>5</v>
      </c>
      <c r="AG24">
        <v>4</v>
      </c>
      <c r="AH24">
        <v>2</v>
      </c>
      <c r="AI24">
        <v>2</v>
      </c>
      <c r="AJ24">
        <v>3</v>
      </c>
      <c r="AK24">
        <v>4</v>
      </c>
      <c r="AM24" t="str">
        <f t="shared" si="0"/>
        <v>60</v>
      </c>
      <c r="AN24">
        <f t="shared" si="1"/>
        <v>0</v>
      </c>
      <c r="AO24">
        <f t="shared" si="2"/>
        <v>50</v>
      </c>
      <c r="AP24" s="15">
        <f t="shared" si="3"/>
        <v>50</v>
      </c>
      <c r="AQ24" s="15">
        <f t="shared" si="4"/>
        <v>75</v>
      </c>
      <c r="AR24" s="15">
        <f t="shared" si="5"/>
        <v>50</v>
      </c>
      <c r="AS24" s="15">
        <f t="shared" si="6"/>
        <v>50</v>
      </c>
      <c r="AT24">
        <f t="shared" si="7"/>
        <v>50</v>
      </c>
      <c r="AU24" s="15">
        <f t="shared" si="8"/>
        <v>80</v>
      </c>
      <c r="AV24" s="15">
        <f t="shared" si="9"/>
        <v>80</v>
      </c>
      <c r="AW24">
        <f t="shared" si="10"/>
        <v>40</v>
      </c>
      <c r="AX24">
        <f t="shared" si="11"/>
        <v>75</v>
      </c>
      <c r="BB24" s="14">
        <f t="shared" si="12"/>
        <v>38.051443967499999</v>
      </c>
      <c r="BC24" s="14">
        <f t="shared" si="13"/>
        <v>45.505011861499995</v>
      </c>
      <c r="BE24" s="14">
        <f t="shared" si="14"/>
        <v>36.623795590999997</v>
      </c>
      <c r="BF24" s="14">
        <f t="shared" si="15"/>
        <v>33.822208563499998</v>
      </c>
      <c r="BH24" t="str">
        <f t="shared" si="16"/>
        <v>35</v>
      </c>
      <c r="BI24">
        <f t="shared" si="17"/>
        <v>50</v>
      </c>
      <c r="BJ24">
        <f t="shared" si="18"/>
        <v>50</v>
      </c>
      <c r="BK24" s="15">
        <f t="shared" si="19"/>
        <v>50</v>
      </c>
      <c r="BL24" s="15">
        <f t="shared" si="20"/>
        <v>50</v>
      </c>
      <c r="BM24" s="15">
        <f t="shared" si="21"/>
        <v>75</v>
      </c>
      <c r="BN24" s="15">
        <f t="shared" si="22"/>
        <v>100</v>
      </c>
      <c r="BO24">
        <f t="shared" si="23"/>
        <v>50</v>
      </c>
      <c r="BP24" s="15">
        <f t="shared" si="24"/>
        <v>20</v>
      </c>
      <c r="BQ24" s="15">
        <f t="shared" si="25"/>
        <v>40</v>
      </c>
      <c r="BR24">
        <f t="shared" si="26"/>
        <v>20</v>
      </c>
      <c r="BS24">
        <f t="shared" si="27"/>
        <v>25</v>
      </c>
    </row>
    <row r="25" spans="1:71" x14ac:dyDescent="0.25">
      <c r="A25">
        <v>24</v>
      </c>
      <c r="B25" t="s">
        <v>105</v>
      </c>
      <c r="C25" t="s">
        <v>40</v>
      </c>
      <c r="D25" s="1" t="d">
        <v>2017-10-06T12:15:10.00000024214387175</v>
      </c>
      <c r="E25" s="1" t="d">
        <v>2017-10-06T12:57:18.999999873340130025</v>
      </c>
      <c r="F25" t="s">
        <v>106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4</v>
      </c>
      <c r="R25">
        <v>2</v>
      </c>
      <c r="S25">
        <v>3</v>
      </c>
      <c r="T25">
        <v>3</v>
      </c>
      <c r="U25" s="1" t="d">
        <v>2018-03-01T17:10:45.00000011175870900</v>
      </c>
      <c r="V25" s="1" t="d">
        <v>2018-03-01T18:17:38.00000026356428850</v>
      </c>
      <c r="W25" t="s">
        <v>107</v>
      </c>
      <c r="X25">
        <v>3</v>
      </c>
      <c r="Y25">
        <v>2</v>
      </c>
      <c r="Z25">
        <v>2</v>
      </c>
      <c r="AA25">
        <v>3</v>
      </c>
      <c r="AB25">
        <v>3</v>
      </c>
      <c r="AC25">
        <v>3</v>
      </c>
      <c r="AD25">
        <v>3</v>
      </c>
      <c r="AE25">
        <v>4</v>
      </c>
      <c r="AF25">
        <v>3</v>
      </c>
      <c r="AG25">
        <v>2</v>
      </c>
      <c r="AH25">
        <v>3</v>
      </c>
      <c r="AI25">
        <v>3</v>
      </c>
      <c r="AJ25">
        <v>3</v>
      </c>
      <c r="AK25">
        <v>4</v>
      </c>
      <c r="AM25" t="str">
        <f t="shared" si="0"/>
        <v>85</v>
      </c>
      <c r="AN25">
        <f t="shared" si="1"/>
        <v>50</v>
      </c>
      <c r="AO25">
        <f t="shared" si="2"/>
        <v>50</v>
      </c>
      <c r="AP25" s="15">
        <f t="shared" si="3"/>
        <v>75</v>
      </c>
      <c r="AQ25" s="15">
        <f t="shared" si="4"/>
        <v>75</v>
      </c>
      <c r="AR25" s="15">
        <f t="shared" si="5"/>
        <v>75</v>
      </c>
      <c r="AS25" s="15">
        <f t="shared" si="6"/>
        <v>75</v>
      </c>
      <c r="AT25">
        <f t="shared" si="7"/>
        <v>75</v>
      </c>
      <c r="AU25" s="15">
        <f t="shared" si="8"/>
        <v>80</v>
      </c>
      <c r="AV25" s="15">
        <f t="shared" si="9"/>
        <v>80</v>
      </c>
      <c r="AW25">
        <f t="shared" si="10"/>
        <v>60</v>
      </c>
      <c r="AX25">
        <f t="shared" si="11"/>
        <v>25</v>
      </c>
      <c r="BB25" s="14">
        <f t="shared" si="12"/>
        <v>44.858360544999996</v>
      </c>
      <c r="BC25" s="14">
        <f t="shared" si="13"/>
        <v>45.216426919999996</v>
      </c>
      <c r="BE25" s="14">
        <f t="shared" si="14"/>
        <v>36.834413740000002</v>
      </c>
      <c r="BF25" s="14">
        <f t="shared" si="15"/>
        <v>40.053163512999994</v>
      </c>
      <c r="BH25" t="str">
        <f t="shared" si="16"/>
        <v>60</v>
      </c>
      <c r="BI25">
        <f t="shared" si="17"/>
        <v>50</v>
      </c>
      <c r="BJ25">
        <f t="shared" si="18"/>
        <v>50</v>
      </c>
      <c r="BK25" s="15">
        <f t="shared" si="19"/>
        <v>50</v>
      </c>
      <c r="BL25" s="15">
        <f t="shared" si="20"/>
        <v>50</v>
      </c>
      <c r="BM25" s="15">
        <f t="shared" si="21"/>
        <v>50</v>
      </c>
      <c r="BN25" s="15">
        <f t="shared" si="22"/>
        <v>50</v>
      </c>
      <c r="BO25">
        <f t="shared" si="23"/>
        <v>25</v>
      </c>
      <c r="BP25" s="15">
        <f t="shared" si="24"/>
        <v>60</v>
      </c>
      <c r="BQ25" s="15">
        <f t="shared" si="25"/>
        <v>80</v>
      </c>
      <c r="BR25">
        <f t="shared" si="26"/>
        <v>40</v>
      </c>
      <c r="BS25">
        <f t="shared" si="27"/>
        <v>50</v>
      </c>
    </row>
    <row r="26" spans="1:71" x14ac:dyDescent="0.25">
      <c r="A26">
        <v>25</v>
      </c>
      <c r="B26" t="s">
        <v>108</v>
      </c>
      <c r="C26" t="s">
        <v>40</v>
      </c>
      <c r="U26" s="1" t="d">
        <v>2018-03-27T19:25:34.00000005494803350</v>
      </c>
      <c r="V26" s="1" t="d">
        <v>2018-03-27T20:30:34.9999997997656475</v>
      </c>
      <c r="W26" t="s">
        <v>109</v>
      </c>
      <c r="X26">
        <v>3</v>
      </c>
      <c r="Y26">
        <v>1</v>
      </c>
      <c r="Z26">
        <v>1</v>
      </c>
      <c r="AA26">
        <v>2</v>
      </c>
      <c r="AB26">
        <v>1</v>
      </c>
      <c r="AC26">
        <v>2</v>
      </c>
      <c r="AD26">
        <v>2</v>
      </c>
      <c r="AE26">
        <v>3</v>
      </c>
      <c r="AF26">
        <v>2</v>
      </c>
      <c r="AG26">
        <v>2</v>
      </c>
      <c r="AH26">
        <v>2</v>
      </c>
      <c r="AI26">
        <v>3</v>
      </c>
      <c r="AJ26">
        <v>3</v>
      </c>
      <c r="AK26">
        <v>2</v>
      </c>
      <c r="AP26" s="15"/>
      <c r="AQ26" s="15"/>
      <c r="AR26" s="15"/>
      <c r="AS26" s="15"/>
      <c r="AU26" s="15"/>
      <c r="AV26" s="15"/>
      <c r="BE26" s="14">
        <f t="shared" si="14"/>
        <v>36.661262399999998</v>
      </c>
      <c r="BF26" s="14">
        <f t="shared" si="15"/>
        <v>45.3252731555</v>
      </c>
      <c r="BH26" t="str">
        <f t="shared" si="16"/>
        <v>60</v>
      </c>
      <c r="BI26">
        <f t="shared" si="17"/>
        <v>0</v>
      </c>
      <c r="BJ26">
        <f t="shared" si="18"/>
        <v>0</v>
      </c>
      <c r="BK26" s="15">
        <f t="shared" si="19"/>
        <v>75</v>
      </c>
      <c r="BL26" s="15">
        <f t="shared" si="20"/>
        <v>100</v>
      </c>
      <c r="BM26" s="15">
        <f t="shared" si="21"/>
        <v>75</v>
      </c>
      <c r="BN26" s="15">
        <f t="shared" si="22"/>
        <v>75</v>
      </c>
      <c r="BO26">
        <f t="shared" si="23"/>
        <v>50</v>
      </c>
      <c r="BP26" s="15">
        <f t="shared" si="24"/>
        <v>80</v>
      </c>
      <c r="BQ26" s="15">
        <f t="shared" si="25"/>
        <v>80</v>
      </c>
      <c r="BR26">
        <f t="shared" si="26"/>
        <v>20</v>
      </c>
      <c r="BS26">
        <f t="shared" si="27"/>
        <v>50</v>
      </c>
    </row>
    <row r="27" spans="1:71" x14ac:dyDescent="0.25">
      <c r="A27">
        <v>26</v>
      </c>
      <c r="B27" t="s">
        <v>110</v>
      </c>
      <c r="C27" t="s">
        <v>111</v>
      </c>
      <c r="D27" s="1" t="d">
        <v>2017-12-11T08:10:45.00000011175870900</v>
      </c>
      <c r="E27" s="1" t="d">
        <v>2017-12-11T08:57:54.99999969732016200</v>
      </c>
      <c r="F27" t="s">
        <v>112</v>
      </c>
      <c r="G27">
        <v>2</v>
      </c>
      <c r="H27">
        <v>2</v>
      </c>
      <c r="I27">
        <v>1</v>
      </c>
      <c r="J27">
        <v>5</v>
      </c>
      <c r="K27">
        <v>5</v>
      </c>
      <c r="L27">
        <v>4</v>
      </c>
      <c r="M27">
        <v>4</v>
      </c>
      <c r="N27">
        <v>4</v>
      </c>
      <c r="O27">
        <v>2</v>
      </c>
      <c r="P27">
        <v>1</v>
      </c>
      <c r="Q27">
        <v>6</v>
      </c>
      <c r="R27">
        <v>5</v>
      </c>
      <c r="S27">
        <v>4</v>
      </c>
      <c r="T27">
        <v>2</v>
      </c>
      <c r="U27" s="1" t="d">
        <v>2018-03-26T08:01:13.99999990593641700</v>
      </c>
      <c r="V27" s="1" t="d">
        <v>2018-03-26T08:40:29.9999999580904875</v>
      </c>
      <c r="W27" t="s">
        <v>113</v>
      </c>
      <c r="X27">
        <v>2</v>
      </c>
      <c r="Y27">
        <v>2</v>
      </c>
      <c r="Z27">
        <v>2</v>
      </c>
      <c r="AA27">
        <v>4</v>
      </c>
      <c r="AB27">
        <v>4</v>
      </c>
      <c r="AC27">
        <v>4</v>
      </c>
      <c r="AD27">
        <v>3</v>
      </c>
      <c r="AE27">
        <v>4</v>
      </c>
      <c r="AF27">
        <v>3</v>
      </c>
      <c r="AG27">
        <v>2</v>
      </c>
      <c r="AH27">
        <v>4</v>
      </c>
      <c r="AI27">
        <v>4</v>
      </c>
      <c r="AJ27">
        <v>4</v>
      </c>
      <c r="AK27">
        <v>5</v>
      </c>
      <c r="AM27" t="str">
        <f t="shared" si="0"/>
        <v>85</v>
      </c>
      <c r="AN27">
        <f t="shared" si="1"/>
        <v>50</v>
      </c>
      <c r="AO27">
        <f t="shared" si="2"/>
        <v>0</v>
      </c>
      <c r="AP27" s="15">
        <f t="shared" si="3"/>
        <v>0</v>
      </c>
      <c r="AQ27" s="15">
        <f t="shared" si="4"/>
        <v>0</v>
      </c>
      <c r="AR27" s="15">
        <f t="shared" si="5"/>
        <v>25</v>
      </c>
      <c r="AS27" s="15">
        <f t="shared" si="6"/>
        <v>25</v>
      </c>
      <c r="AT27">
        <f t="shared" si="7"/>
        <v>25</v>
      </c>
      <c r="AU27" s="15">
        <f t="shared" si="8"/>
        <v>80</v>
      </c>
      <c r="AV27" s="15">
        <f t="shared" si="9"/>
        <v>100</v>
      </c>
      <c r="AW27">
        <f t="shared" si="10"/>
        <v>100</v>
      </c>
      <c r="AX27">
        <f t="shared" si="11"/>
        <v>100</v>
      </c>
      <c r="BB27" s="14">
        <f t="shared" si="12"/>
        <v>26.782879899499999</v>
      </c>
      <c r="BC27" s="14">
        <f t="shared" si="13"/>
        <v>56.879565651499995</v>
      </c>
      <c r="BE27" s="14">
        <f t="shared" si="14"/>
        <v>35.632374415000001</v>
      </c>
      <c r="BF27" s="14">
        <f t="shared" si="15"/>
        <v>43.810670016499998</v>
      </c>
      <c r="BH27" t="str">
        <f t="shared" si="16"/>
        <v>85</v>
      </c>
      <c r="BI27">
        <f t="shared" si="17"/>
        <v>50</v>
      </c>
      <c r="BJ27">
        <f t="shared" si="18"/>
        <v>50</v>
      </c>
      <c r="BK27" s="15">
        <f t="shared" si="19"/>
        <v>25</v>
      </c>
      <c r="BL27" s="15">
        <f t="shared" si="20"/>
        <v>25</v>
      </c>
      <c r="BM27" s="15">
        <f t="shared" si="21"/>
        <v>25</v>
      </c>
      <c r="BN27" s="15">
        <f t="shared" si="22"/>
        <v>50</v>
      </c>
      <c r="BO27">
        <f t="shared" si="23"/>
        <v>25</v>
      </c>
      <c r="BP27" s="15">
        <f t="shared" si="24"/>
        <v>60</v>
      </c>
      <c r="BQ27" s="15">
        <f t="shared" si="25"/>
        <v>80</v>
      </c>
      <c r="BR27">
        <f t="shared" si="26"/>
        <v>60</v>
      </c>
      <c r="BS27">
        <f t="shared" si="27"/>
        <v>75</v>
      </c>
    </row>
    <row r="28" spans="1:71" x14ac:dyDescent="0.25">
      <c r="A28">
        <v>27</v>
      </c>
      <c r="B28" t="s">
        <v>114</v>
      </c>
      <c r="C28" t="s">
        <v>111</v>
      </c>
      <c r="D28" s="1" t="d">
        <v>2017-11-07T19:45:42.99999978393316350</v>
      </c>
      <c r="E28" s="1" t="d">
        <v>2017-11-07T20:22:33.00000028219074225</v>
      </c>
      <c r="F28" t="s">
        <v>115</v>
      </c>
      <c r="G28">
        <v>2</v>
      </c>
      <c r="H28">
        <v>3</v>
      </c>
      <c r="I28">
        <v>2</v>
      </c>
      <c r="J28">
        <v>5</v>
      </c>
      <c r="K28">
        <v>5</v>
      </c>
      <c r="L28">
        <v>3</v>
      </c>
      <c r="M28">
        <v>3</v>
      </c>
      <c r="N28">
        <v>4</v>
      </c>
      <c r="O28">
        <v>2</v>
      </c>
      <c r="P28">
        <v>5</v>
      </c>
      <c r="Q28">
        <v>5</v>
      </c>
      <c r="R28">
        <v>4</v>
      </c>
      <c r="S28">
        <v>4</v>
      </c>
      <c r="T28">
        <v>3</v>
      </c>
      <c r="AM28" t="str">
        <f t="shared" si="0"/>
        <v>85</v>
      </c>
      <c r="AN28">
        <f t="shared" si="1"/>
        <v>100</v>
      </c>
      <c r="AO28">
        <f t="shared" si="2"/>
        <v>50</v>
      </c>
      <c r="AP28" s="15">
        <f t="shared" si="3"/>
        <v>0</v>
      </c>
      <c r="AQ28" s="15">
        <f t="shared" si="4"/>
        <v>0</v>
      </c>
      <c r="AR28" s="15">
        <f t="shared" si="5"/>
        <v>50</v>
      </c>
      <c r="AS28" s="15">
        <f t="shared" si="6"/>
        <v>50</v>
      </c>
      <c r="AT28">
        <f t="shared" si="7"/>
        <v>25</v>
      </c>
      <c r="AU28" s="15">
        <f t="shared" si="8"/>
        <v>80</v>
      </c>
      <c r="AV28" s="15">
        <f t="shared" si="9"/>
        <v>20</v>
      </c>
      <c r="AW28">
        <f t="shared" si="10"/>
        <v>80</v>
      </c>
      <c r="AX28">
        <f t="shared" si="11"/>
        <v>75</v>
      </c>
      <c r="BB28" s="14">
        <f t="shared" si="12"/>
        <v>30.085696259000002</v>
      </c>
      <c r="BC28" s="14">
        <f t="shared" si="13"/>
        <v>47.458653087499997</v>
      </c>
      <c r="BK28" s="15"/>
      <c r="BL28" s="15"/>
      <c r="BM28" s="15"/>
      <c r="BN28" s="15"/>
      <c r="BP28" s="15"/>
      <c r="BQ28" s="15"/>
    </row>
    <row r="29" spans="1:71" x14ac:dyDescent="0.25">
      <c r="A29">
        <v>28</v>
      </c>
      <c r="B29" t="s">
        <v>116</v>
      </c>
      <c r="C29" t="s">
        <v>40</v>
      </c>
      <c r="D29" s="1" t="d">
        <v>2017-11-08T06:53:13.999999808147550</v>
      </c>
      <c r="E29" s="1" t="d">
        <v>2017-11-08T07:28:54.000000287778675</v>
      </c>
      <c r="F29" t="s">
        <v>117</v>
      </c>
      <c r="G29">
        <v>2</v>
      </c>
      <c r="H29">
        <v>1</v>
      </c>
      <c r="I29">
        <v>2</v>
      </c>
      <c r="J29">
        <v>4</v>
      </c>
      <c r="K29">
        <v>3</v>
      </c>
      <c r="L29">
        <v>4</v>
      </c>
      <c r="M29">
        <v>4</v>
      </c>
      <c r="N29">
        <v>3</v>
      </c>
      <c r="O29">
        <v>3</v>
      </c>
      <c r="P29">
        <v>1</v>
      </c>
      <c r="Q29">
        <v>6</v>
      </c>
      <c r="R29">
        <v>5</v>
      </c>
      <c r="S29">
        <v>3</v>
      </c>
      <c r="T29">
        <v>2</v>
      </c>
      <c r="U29" s="1" t="d">
        <v>2018-02-23T13:31:30.99999989848584225</v>
      </c>
      <c r="V29" s="1" t="d">
        <v>2018-02-23T14:14:39.00000012014061150</v>
      </c>
      <c r="W29" t="s">
        <v>118</v>
      </c>
      <c r="X29">
        <v>2</v>
      </c>
      <c r="Y29">
        <v>2</v>
      </c>
      <c r="Z29">
        <v>2</v>
      </c>
      <c r="AA29">
        <v>4</v>
      </c>
      <c r="AB29">
        <v>4</v>
      </c>
      <c r="AC29">
        <v>4</v>
      </c>
      <c r="AD29">
        <v>4</v>
      </c>
      <c r="AE29">
        <v>5</v>
      </c>
      <c r="AF29">
        <v>2</v>
      </c>
      <c r="AG29">
        <v>1</v>
      </c>
      <c r="AH29">
        <v>5</v>
      </c>
      <c r="AI29">
        <v>4</v>
      </c>
      <c r="AJ29">
        <v>3</v>
      </c>
      <c r="AK29">
        <v>4</v>
      </c>
      <c r="AM29" t="str">
        <f t="shared" si="0"/>
        <v>85</v>
      </c>
      <c r="AN29">
        <f t="shared" si="1"/>
        <v>0</v>
      </c>
      <c r="AO29">
        <f t="shared" si="2"/>
        <v>50</v>
      </c>
      <c r="AP29" s="15">
        <f t="shared" si="3"/>
        <v>25</v>
      </c>
      <c r="AQ29" s="15">
        <f t="shared" si="4"/>
        <v>50</v>
      </c>
      <c r="AR29" s="15">
        <f t="shared" si="5"/>
        <v>25</v>
      </c>
      <c r="AS29" s="15">
        <f t="shared" si="6"/>
        <v>25</v>
      </c>
      <c r="AT29">
        <f t="shared" si="7"/>
        <v>50</v>
      </c>
      <c r="AU29" s="15">
        <f t="shared" si="8"/>
        <v>60</v>
      </c>
      <c r="AV29" s="15">
        <f t="shared" si="9"/>
        <v>100</v>
      </c>
      <c r="AW29">
        <f t="shared" si="10"/>
        <v>100</v>
      </c>
      <c r="AX29">
        <f t="shared" si="11"/>
        <v>100</v>
      </c>
      <c r="BB29" s="14">
        <f t="shared" si="12"/>
        <v>36.969248729499995</v>
      </c>
      <c r="BC29" s="14">
        <f t="shared" si="13"/>
        <v>52.416237970499999</v>
      </c>
      <c r="BE29" s="14">
        <f t="shared" si="14"/>
        <v>31.773619176999997</v>
      </c>
      <c r="BF29" s="14">
        <f t="shared" si="15"/>
        <v>48.962435892999991</v>
      </c>
      <c r="BH29" t="str">
        <f t="shared" si="16"/>
        <v>85</v>
      </c>
      <c r="BI29">
        <f t="shared" si="17"/>
        <v>50</v>
      </c>
      <c r="BJ29">
        <f t="shared" si="18"/>
        <v>50</v>
      </c>
      <c r="BK29" s="15">
        <f t="shared" si="19"/>
        <v>25</v>
      </c>
      <c r="BL29" s="15">
        <f t="shared" si="20"/>
        <v>25</v>
      </c>
      <c r="BM29" s="15">
        <f t="shared" si="21"/>
        <v>25</v>
      </c>
      <c r="BN29" s="15">
        <f t="shared" si="22"/>
        <v>25</v>
      </c>
      <c r="BO29">
        <f t="shared" si="23"/>
        <v>0</v>
      </c>
      <c r="BP29" s="15">
        <f t="shared" si="24"/>
        <v>80</v>
      </c>
      <c r="BQ29" s="15">
        <f t="shared" si="25"/>
        <v>100</v>
      </c>
      <c r="BR29">
        <f t="shared" si="26"/>
        <v>80</v>
      </c>
      <c r="BS29">
        <f t="shared" si="27"/>
        <v>75</v>
      </c>
    </row>
    <row r="30" spans="1:71" x14ac:dyDescent="0.25">
      <c r="A30">
        <v>29</v>
      </c>
      <c r="B30" t="s">
        <v>119</v>
      </c>
      <c r="C30" t="s">
        <v>40</v>
      </c>
      <c r="D30" s="1" t="d">
        <v>2017-11-07T20:41:52.00000026728957925</v>
      </c>
      <c r="E30" s="1" t="d">
        <v>2017-11-07T21:31:45.99999984260648775</v>
      </c>
      <c r="F30" t="s">
        <v>120</v>
      </c>
      <c r="G30">
        <v>3</v>
      </c>
      <c r="H30">
        <v>2</v>
      </c>
      <c r="I30">
        <v>2</v>
      </c>
      <c r="J30">
        <v>4</v>
      </c>
      <c r="K30">
        <v>4</v>
      </c>
      <c r="L30">
        <v>4</v>
      </c>
      <c r="M30">
        <v>4</v>
      </c>
      <c r="N30">
        <v>3</v>
      </c>
      <c r="O30">
        <v>3</v>
      </c>
      <c r="P30">
        <v>2</v>
      </c>
      <c r="Q30">
        <v>4</v>
      </c>
      <c r="R30">
        <v>3</v>
      </c>
      <c r="S30">
        <v>3</v>
      </c>
      <c r="T30">
        <v>2</v>
      </c>
      <c r="U30" s="1" t="d">
        <v>2018-03-20T13:58:28.00000007729977125</v>
      </c>
      <c r="V30" s="1" t="d">
        <v>2018-03-20T14:40:53.99999991059303550</v>
      </c>
      <c r="W30" t="s">
        <v>121</v>
      </c>
      <c r="X30">
        <v>3</v>
      </c>
      <c r="Y30">
        <v>2</v>
      </c>
      <c r="Z30">
        <v>2</v>
      </c>
      <c r="AA30">
        <v>3</v>
      </c>
      <c r="AB30">
        <v>3</v>
      </c>
      <c r="AC30">
        <v>4</v>
      </c>
      <c r="AD30">
        <v>4</v>
      </c>
      <c r="AE30">
        <v>3</v>
      </c>
      <c r="AF30">
        <v>3</v>
      </c>
      <c r="AG30">
        <v>2</v>
      </c>
      <c r="AH30">
        <v>5</v>
      </c>
      <c r="AI30">
        <v>3</v>
      </c>
      <c r="AJ30">
        <v>3</v>
      </c>
      <c r="AK30">
        <v>2</v>
      </c>
      <c r="AM30" t="str">
        <f t="shared" si="0"/>
        <v>60</v>
      </c>
      <c r="AN30">
        <f t="shared" si="1"/>
        <v>50</v>
      </c>
      <c r="AO30">
        <f t="shared" si="2"/>
        <v>50</v>
      </c>
      <c r="AP30" s="15">
        <f t="shared" si="3"/>
        <v>25</v>
      </c>
      <c r="AQ30" s="15">
        <f t="shared" si="4"/>
        <v>25</v>
      </c>
      <c r="AR30" s="15">
        <f t="shared" si="5"/>
        <v>25</v>
      </c>
      <c r="AS30" s="15">
        <f t="shared" si="6"/>
        <v>25</v>
      </c>
      <c r="AT30">
        <f t="shared" si="7"/>
        <v>50</v>
      </c>
      <c r="AU30" s="15">
        <f t="shared" si="8"/>
        <v>60</v>
      </c>
      <c r="AV30" s="15">
        <f t="shared" si="9"/>
        <v>80</v>
      </c>
      <c r="AW30">
        <f t="shared" si="10"/>
        <v>60</v>
      </c>
      <c r="AX30">
        <f t="shared" si="11"/>
        <v>50</v>
      </c>
      <c r="BB30" s="14">
        <f t="shared" si="12"/>
        <v>37.716919359999999</v>
      </c>
      <c r="BC30" s="14">
        <f t="shared" si="13"/>
        <v>38.488139026500001</v>
      </c>
      <c r="BE30" s="14">
        <f t="shared" si="14"/>
        <v>40.295970625000002</v>
      </c>
      <c r="BF30" s="14">
        <f t="shared" si="15"/>
        <v>40.230073742499997</v>
      </c>
      <c r="BH30" t="str">
        <f t="shared" si="16"/>
        <v>60</v>
      </c>
      <c r="BI30">
        <f t="shared" si="17"/>
        <v>50</v>
      </c>
      <c r="BJ30">
        <f t="shared" si="18"/>
        <v>50</v>
      </c>
      <c r="BK30" s="15">
        <f t="shared" si="19"/>
        <v>50</v>
      </c>
      <c r="BL30" s="15">
        <f t="shared" si="20"/>
        <v>50</v>
      </c>
      <c r="BM30" s="15">
        <f t="shared" si="21"/>
        <v>25</v>
      </c>
      <c r="BN30" s="15">
        <f t="shared" si="22"/>
        <v>25</v>
      </c>
      <c r="BO30">
        <f t="shared" si="23"/>
        <v>50</v>
      </c>
      <c r="BP30" s="15">
        <f t="shared" si="24"/>
        <v>60</v>
      </c>
      <c r="BQ30" s="15">
        <f t="shared" si="25"/>
        <v>80</v>
      </c>
      <c r="BR30">
        <f t="shared" si="26"/>
        <v>80</v>
      </c>
      <c r="BS30">
        <f t="shared" si="27"/>
        <v>50</v>
      </c>
    </row>
    <row r="31" spans="1:71" x14ac:dyDescent="0.25">
      <c r="A31">
        <v>30</v>
      </c>
      <c r="B31" t="s">
        <v>122</v>
      </c>
      <c r="C31" t="s">
        <v>40</v>
      </c>
      <c r="D31" s="1" t="d">
        <v>2017-11-07T14:20:31.00000005215406375</v>
      </c>
      <c r="E31" s="1" t="d">
        <v>2017-11-07T14:53:39.99999980907887100</v>
      </c>
      <c r="F31" t="s">
        <v>123</v>
      </c>
      <c r="G31">
        <v>3</v>
      </c>
      <c r="H31">
        <v>2</v>
      </c>
      <c r="I31">
        <v>2</v>
      </c>
      <c r="J31">
        <v>4</v>
      </c>
      <c r="K31">
        <v>4</v>
      </c>
      <c r="L31">
        <v>5</v>
      </c>
      <c r="M31">
        <v>5</v>
      </c>
      <c r="N31">
        <v>4</v>
      </c>
      <c r="O31">
        <v>2</v>
      </c>
      <c r="P31">
        <v>6</v>
      </c>
      <c r="Q31">
        <v>6</v>
      </c>
      <c r="R31">
        <v>4</v>
      </c>
      <c r="S31">
        <v>3</v>
      </c>
      <c r="T31">
        <v>2</v>
      </c>
      <c r="U31" s="1" t="d">
        <v>2018-03-08T18:14:48.00000012852251400</v>
      </c>
      <c r="V31" s="1" t="d">
        <v>2018-03-08T18:35:47.99999983515590625</v>
      </c>
      <c r="W31" t="s">
        <v>124</v>
      </c>
      <c r="X31">
        <v>3</v>
      </c>
      <c r="Y31">
        <v>2</v>
      </c>
      <c r="Z31">
        <v>2</v>
      </c>
      <c r="AA31">
        <v>4</v>
      </c>
      <c r="AB31">
        <v>4</v>
      </c>
      <c r="AC31">
        <v>3</v>
      </c>
      <c r="AD31">
        <v>3</v>
      </c>
      <c r="AE31">
        <v>4</v>
      </c>
      <c r="AF31">
        <v>1</v>
      </c>
      <c r="AG31">
        <v>2</v>
      </c>
      <c r="AH31">
        <v>5</v>
      </c>
      <c r="AI31">
        <v>4</v>
      </c>
      <c r="AJ31">
        <v>3</v>
      </c>
      <c r="AK31">
        <v>1</v>
      </c>
      <c r="AM31" t="str">
        <f t="shared" si="0"/>
        <v>60</v>
      </c>
      <c r="AN31">
        <f t="shared" si="1"/>
        <v>50</v>
      </c>
      <c r="AO31">
        <f t="shared" si="2"/>
        <v>50</v>
      </c>
      <c r="AP31" s="15">
        <f t="shared" si="3"/>
        <v>25</v>
      </c>
      <c r="AQ31" s="15">
        <f t="shared" si="4"/>
        <v>25</v>
      </c>
      <c r="AR31" s="15">
        <f t="shared" si="5"/>
        <v>0</v>
      </c>
      <c r="AS31" s="15">
        <f t="shared" si="6"/>
        <v>0</v>
      </c>
      <c r="AT31">
        <f t="shared" si="7"/>
        <v>25</v>
      </c>
      <c r="AU31" s="15">
        <f t="shared" si="8"/>
        <v>80</v>
      </c>
      <c r="AV31" s="15">
        <f t="shared" si="9"/>
        <v>0</v>
      </c>
      <c r="AW31">
        <f t="shared" si="10"/>
        <v>100</v>
      </c>
      <c r="AX31">
        <f t="shared" si="11"/>
        <v>75</v>
      </c>
      <c r="BB31" s="14">
        <f t="shared" si="12"/>
        <v>31.349218454499997</v>
      </c>
      <c r="BC31" s="14">
        <f t="shared" si="13"/>
        <v>39.231953071500001</v>
      </c>
      <c r="BE31" s="14">
        <f t="shared" si="14"/>
        <v>29.472385922499999</v>
      </c>
      <c r="BF31" s="14">
        <f t="shared" si="15"/>
        <v>54.364638374499997</v>
      </c>
      <c r="BH31" t="str">
        <f t="shared" si="16"/>
        <v>60</v>
      </c>
      <c r="BI31">
        <f t="shared" si="17"/>
        <v>50</v>
      </c>
      <c r="BJ31">
        <f t="shared" si="18"/>
        <v>50</v>
      </c>
      <c r="BK31" s="15">
        <f t="shared" si="19"/>
        <v>25</v>
      </c>
      <c r="BL31" s="15">
        <f t="shared" si="20"/>
        <v>25</v>
      </c>
      <c r="BM31" s="15">
        <f t="shared" si="21"/>
        <v>50</v>
      </c>
      <c r="BN31" s="15">
        <f t="shared" si="22"/>
        <v>50</v>
      </c>
      <c r="BO31">
        <f t="shared" si="23"/>
        <v>25</v>
      </c>
      <c r="BP31" s="15">
        <f t="shared" si="24"/>
        <v>100</v>
      </c>
      <c r="BQ31" s="15">
        <f t="shared" si="25"/>
        <v>80</v>
      </c>
      <c r="BR31">
        <f t="shared" si="26"/>
        <v>80</v>
      </c>
      <c r="BS31">
        <f t="shared" si="27"/>
        <v>75</v>
      </c>
    </row>
    <row r="32" spans="1:71" x14ac:dyDescent="0.25">
      <c r="A32">
        <v>31</v>
      </c>
      <c r="B32" t="s">
        <v>125</v>
      </c>
      <c r="C32" t="s">
        <v>40</v>
      </c>
      <c r="D32" s="1" t="d">
        <v>2017-11-07T17:06:30.99999982863664575</v>
      </c>
      <c r="E32" s="1" t="d">
        <v>2017-11-07T17:38:11.999999759718775650</v>
      </c>
      <c r="F32" t="s">
        <v>126</v>
      </c>
      <c r="G32">
        <v>3</v>
      </c>
      <c r="H32">
        <v>3</v>
      </c>
      <c r="I32">
        <v>3</v>
      </c>
      <c r="J32">
        <v>5</v>
      </c>
      <c r="K32">
        <v>5</v>
      </c>
      <c r="L32">
        <v>5</v>
      </c>
      <c r="M32">
        <v>5</v>
      </c>
      <c r="N32">
        <v>2</v>
      </c>
      <c r="O32">
        <v>4</v>
      </c>
      <c r="P32">
        <v>2</v>
      </c>
      <c r="Q32">
        <v>3</v>
      </c>
      <c r="R32">
        <v>4</v>
      </c>
      <c r="S32">
        <v>5</v>
      </c>
      <c r="T32">
        <v>4</v>
      </c>
      <c r="U32" s="1" t="d">
        <v>2018-04-12T15:08:18.99999971967190650</v>
      </c>
      <c r="V32" s="1" t="d">
        <v>2018-04-12T15:54:36.00000011734664175</v>
      </c>
      <c r="W32" t="s">
        <v>127</v>
      </c>
      <c r="X32">
        <v>2</v>
      </c>
      <c r="Y32">
        <v>2</v>
      </c>
      <c r="Z32">
        <v>3</v>
      </c>
      <c r="AA32">
        <v>4</v>
      </c>
      <c r="AB32">
        <v>4</v>
      </c>
      <c r="AC32">
        <v>3</v>
      </c>
      <c r="AD32">
        <v>4</v>
      </c>
      <c r="AE32">
        <v>4</v>
      </c>
      <c r="AF32">
        <v>4</v>
      </c>
      <c r="AG32">
        <v>2</v>
      </c>
      <c r="AH32">
        <v>2</v>
      </c>
      <c r="AI32">
        <v>2</v>
      </c>
      <c r="AJ32">
        <v>3</v>
      </c>
      <c r="AK32">
        <v>3</v>
      </c>
      <c r="AM32" t="str">
        <f t="shared" si="0"/>
        <v>60</v>
      </c>
      <c r="AN32">
        <f t="shared" si="1"/>
        <v>100</v>
      </c>
      <c r="AO32">
        <f t="shared" si="2"/>
        <v>100</v>
      </c>
      <c r="AP32" s="15">
        <f t="shared" si="3"/>
        <v>0</v>
      </c>
      <c r="AQ32" s="15">
        <f t="shared" si="4"/>
        <v>0</v>
      </c>
      <c r="AR32" s="15">
        <f t="shared" si="5"/>
        <v>0</v>
      </c>
      <c r="AS32" s="15">
        <f t="shared" si="6"/>
        <v>0</v>
      </c>
      <c r="AT32">
        <f t="shared" si="7"/>
        <v>75</v>
      </c>
      <c r="AU32" s="15">
        <f t="shared" si="8"/>
        <v>40</v>
      </c>
      <c r="AV32" s="15">
        <f t="shared" si="9"/>
        <v>80</v>
      </c>
      <c r="AW32">
        <f t="shared" si="10"/>
        <v>40</v>
      </c>
      <c r="AX32">
        <f t="shared" si="11"/>
        <v>75</v>
      </c>
      <c r="BB32" s="14">
        <f t="shared" si="12"/>
        <v>48.692407562500001</v>
      </c>
      <c r="BC32" s="14">
        <f t="shared" si="13"/>
        <v>28.120335219499999</v>
      </c>
      <c r="BE32" s="14">
        <f t="shared" si="14"/>
        <v>41.493197455000001</v>
      </c>
      <c r="BF32" s="14">
        <f t="shared" si="15"/>
        <v>29.785158875999997</v>
      </c>
      <c r="BH32" t="str">
        <f t="shared" si="16"/>
        <v>85</v>
      </c>
      <c r="BI32">
        <f t="shared" si="17"/>
        <v>50</v>
      </c>
      <c r="BJ32">
        <f t="shared" si="18"/>
        <v>100</v>
      </c>
      <c r="BK32" s="15">
        <f t="shared" si="19"/>
        <v>25</v>
      </c>
      <c r="BL32" s="15">
        <f t="shared" si="20"/>
        <v>25</v>
      </c>
      <c r="BM32" s="15">
        <f t="shared" si="21"/>
        <v>50</v>
      </c>
      <c r="BN32" s="15">
        <f t="shared" si="22"/>
        <v>25</v>
      </c>
      <c r="BO32">
        <f t="shared" si="23"/>
        <v>25</v>
      </c>
      <c r="BP32" s="15">
        <f t="shared" si="24"/>
        <v>40</v>
      </c>
      <c r="BQ32" s="15">
        <f t="shared" si="25"/>
        <v>80</v>
      </c>
      <c r="BR32">
        <f t="shared" si="26"/>
        <v>20</v>
      </c>
      <c r="BS32">
        <f t="shared" si="27"/>
        <v>25</v>
      </c>
    </row>
    <row r="33" spans="1:71" x14ac:dyDescent="0.25">
      <c r="A33">
        <v>32</v>
      </c>
      <c r="B33" t="s">
        <v>128</v>
      </c>
      <c r="C33" t="s">
        <v>40</v>
      </c>
      <c r="D33" s="1" t="d">
        <v>2017-12-08T19:37:25.99999990314245400</v>
      </c>
      <c r="E33" s="1" t="d">
        <v>2017-12-08T20:18:41.0000001126900300</v>
      </c>
      <c r="F33" t="s">
        <v>129</v>
      </c>
      <c r="G33">
        <v>3</v>
      </c>
      <c r="H33">
        <v>2</v>
      </c>
      <c r="I33">
        <v>2</v>
      </c>
      <c r="J33">
        <v>4</v>
      </c>
      <c r="K33">
        <v>4</v>
      </c>
      <c r="L33">
        <v>4</v>
      </c>
      <c r="M33">
        <v>3</v>
      </c>
      <c r="N33">
        <v>4</v>
      </c>
      <c r="O33">
        <v>2</v>
      </c>
      <c r="P33">
        <v>3</v>
      </c>
      <c r="Q33">
        <v>4</v>
      </c>
      <c r="R33">
        <v>4</v>
      </c>
      <c r="S33">
        <v>2</v>
      </c>
      <c r="T33">
        <v>2</v>
      </c>
      <c r="U33" s="1" t="d">
        <v>2018-05-03T15:47:13.99999989196658175</v>
      </c>
      <c r="V33" s="1" t="d">
        <v>2018-05-03T16:26:23.00000019371509875</v>
      </c>
      <c r="W33" t="s">
        <v>130</v>
      </c>
      <c r="X33">
        <v>3</v>
      </c>
      <c r="Y33">
        <v>2</v>
      </c>
      <c r="Z33">
        <v>3</v>
      </c>
      <c r="AA33">
        <v>3</v>
      </c>
      <c r="AB33">
        <v>4</v>
      </c>
      <c r="AC33">
        <v>3</v>
      </c>
      <c r="AD33">
        <v>3</v>
      </c>
      <c r="AE33">
        <v>4</v>
      </c>
      <c r="AF33">
        <v>2</v>
      </c>
      <c r="AG33">
        <v>3</v>
      </c>
      <c r="AH33">
        <v>3</v>
      </c>
      <c r="AI33">
        <v>4</v>
      </c>
      <c r="AJ33">
        <v>2</v>
      </c>
      <c r="AK33">
        <v>2</v>
      </c>
      <c r="AM33" t="str">
        <f t="shared" si="0"/>
        <v>60</v>
      </c>
      <c r="AN33">
        <f t="shared" si="1"/>
        <v>50</v>
      </c>
      <c r="AO33">
        <f t="shared" si="2"/>
        <v>50</v>
      </c>
      <c r="AP33" s="15">
        <f t="shared" si="3"/>
        <v>25</v>
      </c>
      <c r="AQ33" s="15">
        <f t="shared" si="4"/>
        <v>25</v>
      </c>
      <c r="AR33" s="15">
        <f t="shared" si="5"/>
        <v>25</v>
      </c>
      <c r="AS33" s="15">
        <f t="shared" si="6"/>
        <v>50</v>
      </c>
      <c r="AT33">
        <f t="shared" si="7"/>
        <v>25</v>
      </c>
      <c r="AU33" s="15">
        <f t="shared" si="8"/>
        <v>80</v>
      </c>
      <c r="AV33" s="15">
        <f t="shared" si="9"/>
        <v>60</v>
      </c>
      <c r="AW33">
        <f t="shared" si="10"/>
        <v>60</v>
      </c>
      <c r="AX33">
        <f t="shared" si="11"/>
        <v>75</v>
      </c>
      <c r="BB33" s="14">
        <f t="shared" si="12"/>
        <v>32.228448515499998</v>
      </c>
      <c r="BC33" s="14">
        <f t="shared" si="13"/>
        <v>44.6331954455</v>
      </c>
      <c r="BE33" s="14">
        <f t="shared" si="14"/>
        <v>37.389992445499999</v>
      </c>
      <c r="BF33" s="14">
        <f t="shared" si="15"/>
        <v>42.604575434499999</v>
      </c>
      <c r="BH33" t="str">
        <f t="shared" si="16"/>
        <v>60</v>
      </c>
      <c r="BI33">
        <f t="shared" si="17"/>
        <v>50</v>
      </c>
      <c r="BJ33">
        <f t="shared" si="18"/>
        <v>100</v>
      </c>
      <c r="BK33" s="15">
        <f t="shared" si="19"/>
        <v>50</v>
      </c>
      <c r="BL33" s="15">
        <f t="shared" si="20"/>
        <v>25</v>
      </c>
      <c r="BM33" s="15">
        <f t="shared" si="21"/>
        <v>50</v>
      </c>
      <c r="BN33" s="15">
        <f t="shared" si="22"/>
        <v>50</v>
      </c>
      <c r="BO33">
        <f t="shared" si="23"/>
        <v>25</v>
      </c>
      <c r="BP33" s="15">
        <f t="shared" si="24"/>
        <v>80</v>
      </c>
      <c r="BQ33" s="15">
        <f t="shared" si="25"/>
        <v>60</v>
      </c>
      <c r="BR33">
        <f t="shared" si="26"/>
        <v>40</v>
      </c>
      <c r="BS33">
        <f t="shared" si="27"/>
        <v>75</v>
      </c>
    </row>
    <row r="34" spans="1:71" x14ac:dyDescent="0.25">
      <c r="A34">
        <v>33</v>
      </c>
      <c r="B34" t="s">
        <v>131</v>
      </c>
      <c r="C34" t="s">
        <v>111</v>
      </c>
      <c r="D34" s="1" t="d">
        <v>2017-12-22T18:28:39.99999973922968125</v>
      </c>
      <c r="E34" s="1" t="d">
        <v>2017-12-22T18:56:03.99999994318932450</v>
      </c>
      <c r="F34" t="s">
        <v>132</v>
      </c>
      <c r="G34">
        <v>3</v>
      </c>
      <c r="H34">
        <v>2</v>
      </c>
      <c r="I34">
        <v>2</v>
      </c>
      <c r="J34">
        <v>5</v>
      </c>
      <c r="K34">
        <v>4</v>
      </c>
      <c r="L34">
        <v>5</v>
      </c>
      <c r="M34">
        <v>3</v>
      </c>
      <c r="N34">
        <v>4</v>
      </c>
      <c r="O34">
        <v>1</v>
      </c>
      <c r="P34">
        <v>1</v>
      </c>
      <c r="Q34">
        <v>5</v>
      </c>
      <c r="R34">
        <v>4</v>
      </c>
      <c r="S34">
        <v>3</v>
      </c>
      <c r="T34">
        <v>2</v>
      </c>
      <c r="U34" s="1" t="d">
        <v>2018-05-03T19:35:35.99999996367842025</v>
      </c>
      <c r="V34" s="1" t="d">
        <v>2018-05-04T10:38:37.99999976065009800</v>
      </c>
      <c r="W34" t="s">
        <v>133</v>
      </c>
      <c r="X34">
        <v>3</v>
      </c>
      <c r="Y34">
        <v>2</v>
      </c>
      <c r="Z34">
        <v>2</v>
      </c>
      <c r="AA34">
        <v>4</v>
      </c>
      <c r="AB34">
        <v>3</v>
      </c>
      <c r="AC34">
        <v>4</v>
      </c>
      <c r="AD34">
        <v>3</v>
      </c>
      <c r="AE34">
        <v>4</v>
      </c>
      <c r="AF34">
        <v>1</v>
      </c>
      <c r="AG34">
        <v>1</v>
      </c>
      <c r="AH34">
        <v>5</v>
      </c>
      <c r="AI34">
        <v>4</v>
      </c>
      <c r="AJ34">
        <v>3</v>
      </c>
      <c r="AK34">
        <v>3</v>
      </c>
      <c r="AM34" t="str">
        <f t="shared" si="0"/>
        <v>60</v>
      </c>
      <c r="AN34">
        <f t="shared" si="1"/>
        <v>50</v>
      </c>
      <c r="AO34">
        <f t="shared" si="2"/>
        <v>50</v>
      </c>
      <c r="AP34" s="15">
        <f t="shared" si="3"/>
        <v>0</v>
      </c>
      <c r="AQ34" s="15">
        <f t="shared" si="4"/>
        <v>25</v>
      </c>
      <c r="AR34" s="15">
        <f t="shared" si="5"/>
        <v>0</v>
      </c>
      <c r="AS34" s="15">
        <f t="shared" si="6"/>
        <v>50</v>
      </c>
      <c r="AT34">
        <f t="shared" si="7"/>
        <v>25</v>
      </c>
      <c r="AU34" s="15">
        <f t="shared" si="8"/>
        <v>100</v>
      </c>
      <c r="AV34" s="15">
        <f t="shared" si="9"/>
        <v>100</v>
      </c>
      <c r="AW34">
        <f t="shared" si="10"/>
        <v>80</v>
      </c>
      <c r="AX34">
        <f t="shared" si="11"/>
        <v>75</v>
      </c>
      <c r="BB34" s="14">
        <f t="shared" si="12"/>
        <v>31.159232534499999</v>
      </c>
      <c r="BC34" s="14">
        <f t="shared" si="13"/>
        <v>50.048213716499994</v>
      </c>
      <c r="BE34" s="14">
        <f t="shared" si="14"/>
        <v>33.365575204500004</v>
      </c>
      <c r="BF34" s="14">
        <f t="shared" si="15"/>
        <v>51.969722921499994</v>
      </c>
      <c r="BH34" t="str">
        <f t="shared" si="16"/>
        <v>60</v>
      </c>
      <c r="BI34">
        <f t="shared" si="17"/>
        <v>50</v>
      </c>
      <c r="BJ34">
        <f t="shared" si="18"/>
        <v>50</v>
      </c>
      <c r="BK34" s="15">
        <f t="shared" si="19"/>
        <v>25</v>
      </c>
      <c r="BL34" s="15">
        <f t="shared" si="20"/>
        <v>50</v>
      </c>
      <c r="BM34" s="15">
        <f t="shared" si="21"/>
        <v>25</v>
      </c>
      <c r="BN34" s="15">
        <f t="shared" si="22"/>
        <v>50</v>
      </c>
      <c r="BO34">
        <f t="shared" si="23"/>
        <v>25</v>
      </c>
      <c r="BP34" s="15">
        <f t="shared" si="24"/>
        <v>100</v>
      </c>
      <c r="BQ34" s="15">
        <f t="shared" si="25"/>
        <v>100</v>
      </c>
      <c r="BR34">
        <f t="shared" si="26"/>
        <v>80</v>
      </c>
      <c r="BS34">
        <f t="shared" si="27"/>
        <v>75</v>
      </c>
    </row>
    <row r="35" spans="1:71" x14ac:dyDescent="0.25">
      <c r="A35">
        <v>34</v>
      </c>
      <c r="B35" t="s">
        <v>134</v>
      </c>
      <c r="C35" t="s">
        <v>40</v>
      </c>
      <c r="D35" s="1" t="d">
        <v>2017-12-08T23:09:03.99999976158141900</v>
      </c>
      <c r="E35" s="1" t="d">
        <v>2017-12-09T00:34:48.999999873340130025</v>
      </c>
      <c r="F35" t="s">
        <v>135</v>
      </c>
      <c r="G35">
        <v>3</v>
      </c>
      <c r="H35">
        <v>3</v>
      </c>
      <c r="I35">
        <v>2</v>
      </c>
      <c r="J35">
        <v>5</v>
      </c>
      <c r="K35">
        <v>5</v>
      </c>
      <c r="L35">
        <v>5</v>
      </c>
      <c r="M35">
        <v>5</v>
      </c>
      <c r="N35">
        <v>3</v>
      </c>
      <c r="O35">
        <v>1</v>
      </c>
      <c r="P35">
        <v>1</v>
      </c>
      <c r="Q35">
        <v>6</v>
      </c>
      <c r="R35">
        <v>5</v>
      </c>
      <c r="S35">
        <v>2</v>
      </c>
      <c r="T35">
        <v>2</v>
      </c>
      <c r="U35" s="1" t="d">
        <v>2018-04-16T17:23:21.99999979231506600</v>
      </c>
      <c r="V35" s="1" t="d">
        <v>2018-04-16T18:12:07.00000021141022475</v>
      </c>
      <c r="W35" t="s">
        <v>136</v>
      </c>
      <c r="X35">
        <v>3</v>
      </c>
      <c r="Y35">
        <v>2</v>
      </c>
      <c r="Z35">
        <v>2</v>
      </c>
      <c r="AA35">
        <v>4</v>
      </c>
      <c r="AB35">
        <v>4</v>
      </c>
      <c r="AC35">
        <v>4</v>
      </c>
      <c r="AD35">
        <v>4</v>
      </c>
      <c r="AE35">
        <v>3</v>
      </c>
      <c r="AF35">
        <v>4</v>
      </c>
      <c r="AG35">
        <v>3</v>
      </c>
      <c r="AH35">
        <v>4</v>
      </c>
      <c r="AI35">
        <v>5</v>
      </c>
      <c r="AJ35">
        <v>2</v>
      </c>
      <c r="AK35">
        <v>4</v>
      </c>
      <c r="AM35" t="str">
        <f t="shared" si="0"/>
        <v>60</v>
      </c>
      <c r="AN35">
        <f t="shared" si="1"/>
        <v>100</v>
      </c>
      <c r="AO35">
        <f t="shared" si="2"/>
        <v>50</v>
      </c>
      <c r="AP35" s="15">
        <f t="shared" si="3"/>
        <v>0</v>
      </c>
      <c r="AQ35" s="15">
        <f t="shared" si="4"/>
        <v>0</v>
      </c>
      <c r="AR35" s="15">
        <f t="shared" si="5"/>
        <v>0</v>
      </c>
      <c r="AS35" s="15">
        <f t="shared" si="6"/>
        <v>0</v>
      </c>
      <c r="AT35">
        <f t="shared" si="7"/>
        <v>50</v>
      </c>
      <c r="AU35" s="15">
        <f t="shared" si="8"/>
        <v>100</v>
      </c>
      <c r="AV35" s="15">
        <f t="shared" si="9"/>
        <v>100</v>
      </c>
      <c r="AW35">
        <f t="shared" si="10"/>
        <v>100</v>
      </c>
      <c r="AX35">
        <f t="shared" si="11"/>
        <v>100</v>
      </c>
      <c r="BB35" s="14">
        <f t="shared" si="12"/>
        <v>36.569393482000002</v>
      </c>
      <c r="BC35" s="14">
        <f t="shared" si="13"/>
        <v>49.938598679999998</v>
      </c>
      <c r="BE35" s="14">
        <f t="shared" si="14"/>
        <v>38.196261293000006</v>
      </c>
      <c r="BF35" s="14">
        <f t="shared" si="15"/>
        <v>40.340098253499995</v>
      </c>
      <c r="BH35" t="str">
        <f t="shared" si="16"/>
        <v>60</v>
      </c>
      <c r="BI35">
        <f t="shared" si="17"/>
        <v>50</v>
      </c>
      <c r="BJ35">
        <f t="shared" si="18"/>
        <v>50</v>
      </c>
      <c r="BK35" s="15">
        <f t="shared" si="19"/>
        <v>25</v>
      </c>
      <c r="BL35" s="15">
        <f t="shared" si="20"/>
        <v>25</v>
      </c>
      <c r="BM35" s="15">
        <f t="shared" si="21"/>
        <v>25</v>
      </c>
      <c r="BN35" s="15">
        <f t="shared" si="22"/>
        <v>25</v>
      </c>
      <c r="BO35">
        <f t="shared" si="23"/>
        <v>50</v>
      </c>
      <c r="BP35" s="15">
        <f t="shared" si="24"/>
        <v>40</v>
      </c>
      <c r="BQ35" s="15">
        <f t="shared" si="25"/>
        <v>60</v>
      </c>
      <c r="BR35">
        <f t="shared" si="26"/>
        <v>60</v>
      </c>
      <c r="BS35">
        <f t="shared" si="27"/>
        <v>100</v>
      </c>
    </row>
    <row r="36" spans="1:71" x14ac:dyDescent="0.25">
      <c r="A36">
        <v>35</v>
      </c>
      <c r="B36" t="s">
        <v>137</v>
      </c>
      <c r="C36" t="s">
        <v>40</v>
      </c>
      <c r="D36" s="1" t="d">
        <v>2017-12-09T11:34:46.00000001024455125</v>
      </c>
      <c r="E36" s="1" t="d">
        <v>2017-12-09T13:05:59.00000010151415775</v>
      </c>
      <c r="F36" t="s">
        <v>138</v>
      </c>
      <c r="G36">
        <v>3</v>
      </c>
      <c r="H36">
        <v>2</v>
      </c>
      <c r="I36">
        <v>2</v>
      </c>
      <c r="J36">
        <v>2</v>
      </c>
      <c r="K36">
        <v>3</v>
      </c>
      <c r="L36">
        <v>3</v>
      </c>
      <c r="M36">
        <v>3</v>
      </c>
      <c r="N36">
        <v>3</v>
      </c>
      <c r="O36">
        <v>2</v>
      </c>
      <c r="P36">
        <v>2</v>
      </c>
      <c r="Q36">
        <v>5</v>
      </c>
      <c r="R36">
        <v>3</v>
      </c>
      <c r="S36">
        <v>3</v>
      </c>
      <c r="T36">
        <v>2</v>
      </c>
      <c r="U36" s="1" t="d">
        <v>2018-05-18T07:29:37.99999988637864900</v>
      </c>
      <c r="V36" s="1" t="d">
        <v>2018-05-18T09:46:46.00000026170164650</v>
      </c>
      <c r="W36" t="s">
        <v>139</v>
      </c>
      <c r="X36">
        <v>4</v>
      </c>
      <c r="Y36">
        <v>1</v>
      </c>
      <c r="Z36">
        <v>1</v>
      </c>
      <c r="AA36">
        <v>3</v>
      </c>
      <c r="AB36">
        <v>3</v>
      </c>
      <c r="AC36">
        <v>2</v>
      </c>
      <c r="AD36">
        <v>3</v>
      </c>
      <c r="AE36">
        <v>2</v>
      </c>
      <c r="AF36">
        <v>4</v>
      </c>
      <c r="AG36">
        <v>5</v>
      </c>
      <c r="AH36">
        <v>2</v>
      </c>
      <c r="AI36">
        <v>2</v>
      </c>
      <c r="AJ36">
        <v>3</v>
      </c>
      <c r="AK36">
        <v>4</v>
      </c>
      <c r="AM36" t="str">
        <f t="shared" si="0"/>
        <v>60</v>
      </c>
      <c r="AN36">
        <f t="shared" si="1"/>
        <v>50</v>
      </c>
      <c r="AO36">
        <f t="shared" si="2"/>
        <v>50</v>
      </c>
      <c r="AP36" s="15">
        <f t="shared" si="3"/>
        <v>75</v>
      </c>
      <c r="AQ36" s="15">
        <f t="shared" si="4"/>
        <v>50</v>
      </c>
      <c r="AR36" s="15">
        <f t="shared" si="5"/>
        <v>50</v>
      </c>
      <c r="AS36" s="15">
        <f t="shared" si="6"/>
        <v>50</v>
      </c>
      <c r="AT36">
        <f t="shared" si="7"/>
        <v>50</v>
      </c>
      <c r="AU36" s="15">
        <f t="shared" si="8"/>
        <v>80</v>
      </c>
      <c r="AV36" s="15">
        <f t="shared" si="9"/>
        <v>80</v>
      </c>
      <c r="AW36">
        <f t="shared" si="10"/>
        <v>80</v>
      </c>
      <c r="AX36">
        <f t="shared" si="11"/>
        <v>50</v>
      </c>
      <c r="BB36" s="14">
        <f t="shared" si="12"/>
        <v>38.993499024999998</v>
      </c>
      <c r="BC36" s="14">
        <f t="shared" si="13"/>
        <v>46.977867525999997</v>
      </c>
      <c r="BE36" s="14">
        <f t="shared" si="14"/>
        <v>33.143991468999999</v>
      </c>
      <c r="BF36" s="14">
        <f t="shared" si="15"/>
        <v>33.322723197499997</v>
      </c>
      <c r="BH36" t="str">
        <f t="shared" si="16"/>
        <v>35</v>
      </c>
      <c r="BI36">
        <f t="shared" si="17"/>
        <v>0</v>
      </c>
      <c r="BJ36">
        <f t="shared" si="18"/>
        <v>0</v>
      </c>
      <c r="BK36" s="15">
        <f t="shared" si="19"/>
        <v>50</v>
      </c>
      <c r="BL36" s="15">
        <f t="shared" si="20"/>
        <v>50</v>
      </c>
      <c r="BM36" s="15">
        <f t="shared" si="21"/>
        <v>75</v>
      </c>
      <c r="BN36" s="15">
        <f t="shared" si="22"/>
        <v>50</v>
      </c>
      <c r="BO36">
        <f t="shared" si="23"/>
        <v>75</v>
      </c>
      <c r="BP36" s="15">
        <f t="shared" si="24"/>
        <v>40</v>
      </c>
      <c r="BQ36" s="15">
        <f t="shared" si="25"/>
        <v>20</v>
      </c>
      <c r="BR36">
        <f t="shared" si="26"/>
        <v>20</v>
      </c>
      <c r="BS36">
        <f t="shared" si="27"/>
        <v>25</v>
      </c>
    </row>
    <row r="37" spans="1:71" x14ac:dyDescent="0.25">
      <c r="A37">
        <v>36</v>
      </c>
      <c r="B37" t="s">
        <v>140</v>
      </c>
      <c r="C37" t="s">
        <v>40</v>
      </c>
      <c r="D37" s="1" t="d">
        <v>2018-01-10T20:07:26.0000001126900300</v>
      </c>
      <c r="E37" s="1" t="d">
        <v>2018-01-10T23:02:46.00000003818422850</v>
      </c>
      <c r="F37" t="s">
        <v>141</v>
      </c>
      <c r="G37">
        <v>2</v>
      </c>
      <c r="H37">
        <v>2</v>
      </c>
      <c r="I37">
        <v>2</v>
      </c>
      <c r="J37">
        <v>3</v>
      </c>
      <c r="K37">
        <v>3</v>
      </c>
      <c r="L37">
        <v>3</v>
      </c>
      <c r="M37">
        <v>2</v>
      </c>
      <c r="N37">
        <v>2</v>
      </c>
      <c r="O37">
        <v>2</v>
      </c>
      <c r="P37">
        <v>2</v>
      </c>
      <c r="Q37">
        <v>3</v>
      </c>
      <c r="R37">
        <v>4</v>
      </c>
      <c r="S37">
        <v>3</v>
      </c>
      <c r="T37">
        <v>3</v>
      </c>
      <c r="U37" s="1" t="d">
        <v>2018-07-16T20:01:13.99999990593641700</v>
      </c>
      <c r="V37" s="1" t="d">
        <v>2018-07-16T21:16:57.99999971408396700</v>
      </c>
      <c r="W37" t="s">
        <v>142</v>
      </c>
      <c r="X37">
        <v>3</v>
      </c>
      <c r="Y37">
        <v>1</v>
      </c>
      <c r="Z37">
        <v>2</v>
      </c>
      <c r="AA37">
        <v>3</v>
      </c>
      <c r="AB37">
        <v>2</v>
      </c>
      <c r="AC37">
        <v>1</v>
      </c>
      <c r="AD37">
        <v>1</v>
      </c>
      <c r="AE37">
        <v>2</v>
      </c>
      <c r="AF37">
        <v>3</v>
      </c>
      <c r="AG37">
        <v>4</v>
      </c>
      <c r="AH37">
        <v>2</v>
      </c>
      <c r="AI37">
        <v>2</v>
      </c>
      <c r="AJ37">
        <v>4</v>
      </c>
      <c r="AK37">
        <v>4</v>
      </c>
      <c r="AM37" t="str">
        <f t="shared" si="0"/>
        <v>85</v>
      </c>
      <c r="AN37">
        <f t="shared" si="1"/>
        <v>50</v>
      </c>
      <c r="AO37">
        <f t="shared" si="2"/>
        <v>50</v>
      </c>
      <c r="AP37" s="15">
        <f t="shared" si="3"/>
        <v>50</v>
      </c>
      <c r="AQ37" s="15">
        <f t="shared" si="4"/>
        <v>50</v>
      </c>
      <c r="AR37" s="15">
        <f t="shared" si="5"/>
        <v>50</v>
      </c>
      <c r="AS37" s="15">
        <f t="shared" si="6"/>
        <v>75</v>
      </c>
      <c r="AT37">
        <f t="shared" si="7"/>
        <v>75</v>
      </c>
      <c r="AU37" s="15">
        <f t="shared" si="8"/>
        <v>80</v>
      </c>
      <c r="AV37" s="15">
        <f t="shared" si="9"/>
        <v>80</v>
      </c>
      <c r="AW37">
        <f t="shared" si="10"/>
        <v>40</v>
      </c>
      <c r="AX37">
        <f t="shared" si="11"/>
        <v>75</v>
      </c>
      <c r="BB37" s="14">
        <f t="shared" si="12"/>
        <v>43.949749749999995</v>
      </c>
      <c r="BC37" s="14">
        <f t="shared" si="13"/>
        <v>45.736011633999993</v>
      </c>
      <c r="BE37" s="14">
        <f t="shared" si="14"/>
        <v>37.393699393499993</v>
      </c>
      <c r="BF37" s="14">
        <f t="shared" si="15"/>
        <v>41.892145230499999</v>
      </c>
      <c r="BH37" t="str">
        <f t="shared" si="16"/>
        <v>60</v>
      </c>
      <c r="BI37">
        <f t="shared" si="17"/>
        <v>0</v>
      </c>
      <c r="BJ37">
        <f t="shared" si="18"/>
        <v>50</v>
      </c>
      <c r="BK37" s="15">
        <f t="shared" si="19"/>
        <v>50</v>
      </c>
      <c r="BL37" s="15">
        <f t="shared" si="20"/>
        <v>75</v>
      </c>
      <c r="BM37" s="15">
        <f t="shared" si="21"/>
        <v>100</v>
      </c>
      <c r="BN37" s="15">
        <f t="shared" si="22"/>
        <v>100</v>
      </c>
      <c r="BO37">
        <f t="shared" si="23"/>
        <v>75</v>
      </c>
      <c r="BP37" s="15">
        <f t="shared" si="24"/>
        <v>60</v>
      </c>
      <c r="BQ37" s="15">
        <f t="shared" si="25"/>
        <v>40</v>
      </c>
      <c r="BR37">
        <f t="shared" si="26"/>
        <v>20</v>
      </c>
      <c r="BS37">
        <f t="shared" si="27"/>
        <v>25</v>
      </c>
    </row>
    <row r="38" spans="1:71" x14ac:dyDescent="0.25">
      <c r="A38">
        <v>37</v>
      </c>
      <c r="B38" t="s">
        <v>143</v>
      </c>
      <c r="C38" t="s">
        <v>111</v>
      </c>
      <c r="D38" s="1" t="d">
        <v>2018-01-05T19:55:01.00000009406358300</v>
      </c>
      <c r="E38" s="1" t="d">
        <v>2018-01-05T20:53:34.00000029243528675</v>
      </c>
      <c r="F38" t="s">
        <v>144</v>
      </c>
      <c r="G38">
        <v>3</v>
      </c>
      <c r="I38">
        <v>3</v>
      </c>
      <c r="J38">
        <v>5</v>
      </c>
      <c r="K38">
        <v>4</v>
      </c>
      <c r="L38">
        <v>4</v>
      </c>
      <c r="M38">
        <v>2</v>
      </c>
      <c r="N38">
        <v>4</v>
      </c>
      <c r="O38">
        <v>4</v>
      </c>
      <c r="P38">
        <v>5</v>
      </c>
      <c r="Q38">
        <v>4</v>
      </c>
      <c r="R38">
        <v>3</v>
      </c>
      <c r="S38">
        <v>2</v>
      </c>
      <c r="T38">
        <v>4</v>
      </c>
      <c r="U38" s="1" t="d">
        <v>2018-04-17T13:01:09.99999980907887100</v>
      </c>
      <c r="V38" s="1" t="d">
        <v>2018-04-17T13:33:20.99999983794986925</v>
      </c>
      <c r="W38" t="s">
        <v>145</v>
      </c>
      <c r="X38">
        <v>3</v>
      </c>
      <c r="Y38">
        <v>2</v>
      </c>
      <c r="Z38">
        <v>2</v>
      </c>
      <c r="AA38">
        <v>2</v>
      </c>
      <c r="AB38">
        <v>3</v>
      </c>
      <c r="AC38">
        <v>3</v>
      </c>
      <c r="AD38">
        <v>3</v>
      </c>
      <c r="AE38">
        <v>3</v>
      </c>
      <c r="AF38">
        <v>3</v>
      </c>
      <c r="AG38">
        <v>3</v>
      </c>
      <c r="AH38">
        <v>4</v>
      </c>
      <c r="AI38">
        <v>4</v>
      </c>
      <c r="AJ38">
        <v>3</v>
      </c>
      <c r="AK38">
        <v>2</v>
      </c>
      <c r="AM38" t="str">
        <f t="shared" si="0"/>
        <v>60</v>
      </c>
      <c r="AN38">
        <f t="shared" si="1"/>
        <v>-50</v>
      </c>
      <c r="AO38">
        <f t="shared" si="2"/>
        <v>100</v>
      </c>
      <c r="AP38" s="15">
        <f t="shared" si="3"/>
        <v>0</v>
      </c>
      <c r="AQ38" s="15">
        <f t="shared" si="4"/>
        <v>25</v>
      </c>
      <c r="AR38" s="15">
        <f t="shared" si="5"/>
        <v>25</v>
      </c>
      <c r="AS38" s="15">
        <f t="shared" si="6"/>
        <v>75</v>
      </c>
      <c r="AT38">
        <f t="shared" si="7"/>
        <v>25</v>
      </c>
      <c r="AU38" s="15">
        <f t="shared" si="8"/>
        <v>40</v>
      </c>
      <c r="AV38" s="15">
        <f t="shared" si="9"/>
        <v>20</v>
      </c>
      <c r="AW38">
        <f t="shared" si="10"/>
        <v>60</v>
      </c>
      <c r="AX38">
        <f t="shared" si="11"/>
        <v>50</v>
      </c>
      <c r="BB38" s="14">
        <f t="shared" si="12"/>
        <v>27.247158783999996</v>
      </c>
      <c r="BC38" s="14">
        <f t="shared" si="13"/>
        <v>39.387588634499998</v>
      </c>
      <c r="BE38" s="14">
        <f t="shared" si="14"/>
        <v>40.424846990500001</v>
      </c>
      <c r="BF38" s="14">
        <f t="shared" si="15"/>
        <v>43.127912919499998</v>
      </c>
      <c r="BH38" t="str">
        <f t="shared" si="16"/>
        <v>60</v>
      </c>
      <c r="BI38">
        <f t="shared" si="17"/>
        <v>50</v>
      </c>
      <c r="BJ38">
        <f t="shared" si="18"/>
        <v>50</v>
      </c>
      <c r="BK38" s="15">
        <f t="shared" si="19"/>
        <v>75</v>
      </c>
      <c r="BL38" s="15">
        <f t="shared" si="20"/>
        <v>50</v>
      </c>
      <c r="BM38" s="15">
        <f t="shared" si="21"/>
        <v>50</v>
      </c>
      <c r="BN38" s="15">
        <f t="shared" si="22"/>
        <v>50</v>
      </c>
      <c r="BO38">
        <f t="shared" si="23"/>
        <v>50</v>
      </c>
      <c r="BP38" s="15">
        <f t="shared" si="24"/>
        <v>60</v>
      </c>
      <c r="BQ38" s="15">
        <f t="shared" si="25"/>
        <v>60</v>
      </c>
      <c r="BR38">
        <f t="shared" si="26"/>
        <v>60</v>
      </c>
      <c r="BS38">
        <f t="shared" si="27"/>
        <v>75</v>
      </c>
    </row>
    <row r="39" spans="1:71" x14ac:dyDescent="0.25">
      <c r="A39">
        <v>38</v>
      </c>
      <c r="B39" t="s">
        <v>146</v>
      </c>
      <c r="C39" t="s">
        <v>40</v>
      </c>
      <c r="D39" s="1" t="d">
        <v>2017-12-20T11:53:26.99999991338699850</v>
      </c>
      <c r="E39" s="1" t="d">
        <v>2017-12-20T12:27:56.9999997457489350</v>
      </c>
      <c r="F39" t="s">
        <v>147</v>
      </c>
      <c r="G39">
        <v>4</v>
      </c>
      <c r="H39">
        <v>1</v>
      </c>
      <c r="I39">
        <v>1</v>
      </c>
      <c r="J39">
        <v>1</v>
      </c>
      <c r="K39">
        <v>1</v>
      </c>
      <c r="L39">
        <v>5</v>
      </c>
      <c r="M39">
        <v>5</v>
      </c>
      <c r="N39">
        <v>2</v>
      </c>
      <c r="O39">
        <v>2</v>
      </c>
      <c r="P39">
        <v>3</v>
      </c>
      <c r="Q39">
        <v>4</v>
      </c>
      <c r="R39">
        <v>4</v>
      </c>
      <c r="S39">
        <v>4</v>
      </c>
      <c r="T39">
        <v>4</v>
      </c>
      <c r="U39" s="1" t="d">
        <v>2018-05-17T10:43:03.99999970570206450</v>
      </c>
      <c r="V39" s="1" t="d">
        <v>2018-05-17T11:37:07.99999988637864900</v>
      </c>
      <c r="W39" t="s">
        <v>148</v>
      </c>
      <c r="X39">
        <v>3</v>
      </c>
      <c r="Y39">
        <v>1</v>
      </c>
      <c r="Z39">
        <v>1</v>
      </c>
      <c r="AA39">
        <v>4</v>
      </c>
      <c r="AB39">
        <v>4</v>
      </c>
      <c r="AC39">
        <v>4</v>
      </c>
      <c r="AD39">
        <v>4</v>
      </c>
      <c r="AE39">
        <v>3</v>
      </c>
      <c r="AF39">
        <v>2</v>
      </c>
      <c r="AG39">
        <v>2</v>
      </c>
      <c r="AH39">
        <v>4</v>
      </c>
      <c r="AI39">
        <v>4</v>
      </c>
      <c r="AJ39">
        <v>5</v>
      </c>
      <c r="AK39">
        <v>5</v>
      </c>
      <c r="AM39" t="str">
        <f t="shared" si="0"/>
        <v>35</v>
      </c>
      <c r="AN39">
        <f t="shared" si="1"/>
        <v>0</v>
      </c>
      <c r="AO39">
        <f t="shared" si="2"/>
        <v>0</v>
      </c>
      <c r="AP39" s="15">
        <f t="shared" si="3"/>
        <v>100</v>
      </c>
      <c r="AQ39" s="15">
        <f t="shared" si="4"/>
        <v>100</v>
      </c>
      <c r="AR39" s="15">
        <f t="shared" si="5"/>
        <v>0</v>
      </c>
      <c r="AS39" s="15">
        <f t="shared" si="6"/>
        <v>0</v>
      </c>
      <c r="AT39">
        <f t="shared" si="7"/>
        <v>75</v>
      </c>
      <c r="AU39" s="15">
        <f t="shared" si="8"/>
        <v>80</v>
      </c>
      <c r="AV39" s="15">
        <f t="shared" si="9"/>
        <v>60</v>
      </c>
      <c r="AW39">
        <f t="shared" si="10"/>
        <v>60</v>
      </c>
      <c r="AX39">
        <f t="shared" si="11"/>
        <v>75</v>
      </c>
      <c r="BB39" s="14">
        <f t="shared" si="12"/>
        <v>43.968178592999998</v>
      </c>
      <c r="BC39" s="14">
        <f t="shared" si="13"/>
        <v>35.843614620499999</v>
      </c>
      <c r="BE39" s="14">
        <f t="shared" si="14"/>
        <v>29.988916632499997</v>
      </c>
      <c r="BF39" s="14">
        <f t="shared" si="15"/>
        <v>46.744434349999999</v>
      </c>
      <c r="BH39" t="str">
        <f t="shared" si="16"/>
        <v>60</v>
      </c>
      <c r="BI39">
        <f t="shared" si="17"/>
        <v>0</v>
      </c>
      <c r="BJ39">
        <f t="shared" si="18"/>
        <v>0</v>
      </c>
      <c r="BK39" s="15">
        <f t="shared" si="19"/>
        <v>25</v>
      </c>
      <c r="BL39" s="15">
        <f t="shared" si="20"/>
        <v>25</v>
      </c>
      <c r="BM39" s="15">
        <f t="shared" si="21"/>
        <v>25</v>
      </c>
      <c r="BN39" s="15">
        <f t="shared" si="22"/>
        <v>25</v>
      </c>
      <c r="BO39">
        <f t="shared" si="23"/>
        <v>50</v>
      </c>
      <c r="BP39" s="15">
        <f t="shared" si="24"/>
        <v>80</v>
      </c>
      <c r="BQ39" s="15">
        <f t="shared" si="25"/>
        <v>80</v>
      </c>
      <c r="BR39">
        <f t="shared" si="26"/>
        <v>60</v>
      </c>
      <c r="BS39">
        <f t="shared" si="27"/>
        <v>75</v>
      </c>
    </row>
    <row r="40" spans="1:71" x14ac:dyDescent="0.25">
      <c r="A40">
        <v>39</v>
      </c>
      <c r="B40" t="s">
        <v>149</v>
      </c>
      <c r="C40" t="s">
        <v>40</v>
      </c>
      <c r="D40" s="1" t="d">
        <v>2018-01-16T13:42:28.99999969638884100</v>
      </c>
      <c r="E40" s="1" t="d">
        <v>2018-01-16T14:04:34.000000138767063900</v>
      </c>
      <c r="F40" t="s">
        <v>150</v>
      </c>
      <c r="G40">
        <v>2</v>
      </c>
      <c r="H40">
        <v>1</v>
      </c>
      <c r="I40">
        <v>1</v>
      </c>
      <c r="J40">
        <v>1</v>
      </c>
      <c r="K40">
        <v>1</v>
      </c>
      <c r="L40">
        <v>4</v>
      </c>
      <c r="M40">
        <v>3</v>
      </c>
      <c r="N40">
        <v>2</v>
      </c>
      <c r="O40">
        <v>1</v>
      </c>
      <c r="P40">
        <v>1</v>
      </c>
      <c r="Q40">
        <v>5</v>
      </c>
      <c r="R40">
        <v>5</v>
      </c>
      <c r="S40">
        <v>3</v>
      </c>
      <c r="T40">
        <v>3</v>
      </c>
      <c r="U40" s="1" t="d">
        <v>2018-05-31T09:03:06.00000010337680650</v>
      </c>
      <c r="V40" s="1" t="d">
        <v>2018-05-31T09:28:23.99999977089464925</v>
      </c>
      <c r="W40" t="s">
        <v>151</v>
      </c>
      <c r="X40">
        <v>3</v>
      </c>
      <c r="Y40">
        <v>1</v>
      </c>
      <c r="Z40">
        <v>1</v>
      </c>
      <c r="AA40">
        <v>2</v>
      </c>
      <c r="AB40">
        <v>1</v>
      </c>
      <c r="AC40">
        <v>2</v>
      </c>
      <c r="AD40">
        <v>1</v>
      </c>
      <c r="AE40">
        <v>1</v>
      </c>
      <c r="AF40">
        <v>2</v>
      </c>
      <c r="AG40">
        <v>2</v>
      </c>
      <c r="AH40">
        <v>4</v>
      </c>
      <c r="AI40">
        <v>3</v>
      </c>
      <c r="AJ40">
        <v>3</v>
      </c>
      <c r="AK40">
        <v>4</v>
      </c>
      <c r="AM40" t="str">
        <f t="shared" si="0"/>
        <v>85</v>
      </c>
      <c r="AN40">
        <f t="shared" si="1"/>
        <v>0</v>
      </c>
      <c r="AO40">
        <f t="shared" si="2"/>
        <v>0</v>
      </c>
      <c r="AP40" s="15">
        <f t="shared" si="3"/>
        <v>100</v>
      </c>
      <c r="AQ40" s="15">
        <f t="shared" si="4"/>
        <v>100</v>
      </c>
      <c r="AR40" s="15">
        <f t="shared" si="5"/>
        <v>25</v>
      </c>
      <c r="AS40" s="15">
        <f t="shared" si="6"/>
        <v>50</v>
      </c>
      <c r="AT40">
        <f t="shared" si="7"/>
        <v>75</v>
      </c>
      <c r="AU40" s="15">
        <f t="shared" si="8"/>
        <v>100</v>
      </c>
      <c r="AV40" s="15">
        <f t="shared" si="9"/>
        <v>100</v>
      </c>
      <c r="AW40">
        <f t="shared" si="10"/>
        <v>80</v>
      </c>
      <c r="AX40">
        <f t="shared" si="11"/>
        <v>100</v>
      </c>
      <c r="BB40" s="14">
        <f t="shared" si="12"/>
        <v>44.225908894499995</v>
      </c>
      <c r="BC40" s="14">
        <f t="shared" si="13"/>
        <v>53.675757713999992</v>
      </c>
      <c r="BE40" s="14">
        <f t="shared" si="14"/>
        <v>40.418788405000001</v>
      </c>
      <c r="BF40" s="14">
        <f t="shared" si="15"/>
        <v>52.103669359999998</v>
      </c>
      <c r="BH40" t="str">
        <f t="shared" si="16"/>
        <v>60</v>
      </c>
      <c r="BI40">
        <f t="shared" si="17"/>
        <v>0</v>
      </c>
      <c r="BJ40">
        <f t="shared" si="18"/>
        <v>0</v>
      </c>
      <c r="BK40" s="15">
        <f t="shared" si="19"/>
        <v>75</v>
      </c>
      <c r="BL40" s="15">
        <f t="shared" si="20"/>
        <v>100</v>
      </c>
      <c r="BM40" s="15">
        <f t="shared" si="21"/>
        <v>75</v>
      </c>
      <c r="BN40" s="15">
        <f t="shared" si="22"/>
        <v>100</v>
      </c>
      <c r="BO40">
        <f t="shared" si="23"/>
        <v>100</v>
      </c>
      <c r="BP40" s="15">
        <f t="shared" si="24"/>
        <v>80</v>
      </c>
      <c r="BQ40" s="15">
        <f t="shared" si="25"/>
        <v>80</v>
      </c>
      <c r="BR40">
        <f t="shared" si="26"/>
        <v>60</v>
      </c>
      <c r="BS40">
        <f t="shared" si="27"/>
        <v>50</v>
      </c>
    </row>
    <row r="41" spans="1:71" x14ac:dyDescent="0.25">
      <c r="A41">
        <v>40</v>
      </c>
      <c r="B41" t="s">
        <v>152</v>
      </c>
      <c r="C41" t="s">
        <v>40</v>
      </c>
      <c r="D41" s="1" t="d">
        <v>2018-01-25T09:08:32.00000024400651375</v>
      </c>
      <c r="E41" s="1" t="d">
        <v>2018-01-25T09:36:28.99999998975544875</v>
      </c>
      <c r="F41" t="s">
        <v>153</v>
      </c>
      <c r="G41">
        <v>2</v>
      </c>
      <c r="H41">
        <v>2</v>
      </c>
      <c r="I41">
        <v>3</v>
      </c>
      <c r="J41">
        <v>4</v>
      </c>
      <c r="K41">
        <v>4</v>
      </c>
      <c r="L41">
        <v>4</v>
      </c>
      <c r="M41">
        <v>4</v>
      </c>
      <c r="N41">
        <v>4</v>
      </c>
      <c r="O41">
        <v>1</v>
      </c>
      <c r="P41">
        <v>1</v>
      </c>
      <c r="Q41">
        <v>5</v>
      </c>
      <c r="R41">
        <v>5</v>
      </c>
      <c r="S41">
        <v>2</v>
      </c>
      <c r="T41">
        <v>2</v>
      </c>
      <c r="U41" s="1" t="d">
        <v>2018-06-18T16:11:46.99999972712248800</v>
      </c>
      <c r="V41" s="1" t="d">
        <v>2018-06-18T16:46:44.99999981839210125</v>
      </c>
      <c r="W41" t="s">
        <v>154</v>
      </c>
      <c r="X41">
        <v>3</v>
      </c>
      <c r="Y41">
        <v>2</v>
      </c>
      <c r="Z41">
        <v>2</v>
      </c>
      <c r="AA41">
        <v>3</v>
      </c>
      <c r="AB41">
        <v>2</v>
      </c>
      <c r="AC41">
        <v>2</v>
      </c>
      <c r="AD41">
        <v>1</v>
      </c>
      <c r="AE41">
        <v>3</v>
      </c>
      <c r="AF41">
        <v>4</v>
      </c>
      <c r="AG41">
        <v>3</v>
      </c>
      <c r="AH41">
        <v>2</v>
      </c>
      <c r="AI41">
        <v>2</v>
      </c>
      <c r="AJ41">
        <v>4</v>
      </c>
      <c r="AK41">
        <v>4</v>
      </c>
      <c r="AM41" t="str">
        <f t="shared" si="0"/>
        <v>85</v>
      </c>
      <c r="AN41">
        <f t="shared" si="1"/>
        <v>50</v>
      </c>
      <c r="AO41">
        <f t="shared" si="2"/>
        <v>100</v>
      </c>
      <c r="AP41" s="15">
        <f t="shared" si="3"/>
        <v>25</v>
      </c>
      <c r="AQ41" s="15">
        <f t="shared" si="4"/>
        <v>25</v>
      </c>
      <c r="AR41" s="15">
        <f t="shared" si="5"/>
        <v>25</v>
      </c>
      <c r="AS41" s="15">
        <f t="shared" si="6"/>
        <v>25</v>
      </c>
      <c r="AT41">
        <f t="shared" si="7"/>
        <v>25</v>
      </c>
      <c r="AU41" s="15">
        <f t="shared" si="8"/>
        <v>100</v>
      </c>
      <c r="AV41" s="15">
        <f t="shared" si="9"/>
        <v>100</v>
      </c>
      <c r="AW41">
        <f t="shared" si="10"/>
        <v>80</v>
      </c>
      <c r="AX41">
        <f t="shared" si="11"/>
        <v>100</v>
      </c>
      <c r="BB41" s="14">
        <f t="shared" si="12"/>
        <v>38.131803334500006</v>
      </c>
      <c r="BC41" s="14">
        <f t="shared" si="13"/>
        <v>51.676800491499996</v>
      </c>
      <c r="BE41" s="14">
        <f t="shared" si="14"/>
        <v>40.185100395500001</v>
      </c>
      <c r="BF41" s="14">
        <f t="shared" si="15"/>
        <v>36.759717346499997</v>
      </c>
      <c r="BH41" t="str">
        <f t="shared" si="16"/>
        <v>60</v>
      </c>
      <c r="BI41">
        <f t="shared" si="17"/>
        <v>50</v>
      </c>
      <c r="BJ41">
        <f t="shared" si="18"/>
        <v>50</v>
      </c>
      <c r="BK41" s="15">
        <f t="shared" si="19"/>
        <v>50</v>
      </c>
      <c r="BL41" s="15">
        <f t="shared" si="20"/>
        <v>75</v>
      </c>
      <c r="BM41" s="15">
        <f t="shared" si="21"/>
        <v>75</v>
      </c>
      <c r="BN41" s="15">
        <f t="shared" si="22"/>
        <v>100</v>
      </c>
      <c r="BO41">
        <f t="shared" si="23"/>
        <v>50</v>
      </c>
      <c r="BP41" s="15">
        <f t="shared" si="24"/>
        <v>40</v>
      </c>
      <c r="BQ41" s="15">
        <f t="shared" si="25"/>
        <v>60</v>
      </c>
      <c r="BR41">
        <f t="shared" si="26"/>
        <v>20</v>
      </c>
      <c r="BS41">
        <f t="shared" si="27"/>
        <v>25</v>
      </c>
    </row>
    <row r="42" spans="1:71" x14ac:dyDescent="0.25">
      <c r="A42">
        <v>41</v>
      </c>
      <c r="B42" t="s">
        <v>155</v>
      </c>
      <c r="C42" t="s">
        <v>40</v>
      </c>
      <c r="D42" s="1" t="d">
        <v>2018-01-19T18:58:46.00000009406358300</v>
      </c>
      <c r="E42" s="1" t="d">
        <v>2018-01-19T19:30:38.000000081956386375</v>
      </c>
      <c r="F42" t="s">
        <v>156</v>
      </c>
      <c r="G42">
        <v>2</v>
      </c>
      <c r="H42">
        <v>2</v>
      </c>
      <c r="I42">
        <v>2</v>
      </c>
      <c r="J42">
        <v>3</v>
      </c>
      <c r="K42">
        <v>3</v>
      </c>
      <c r="L42">
        <v>3</v>
      </c>
      <c r="M42">
        <v>3</v>
      </c>
      <c r="N42">
        <v>3</v>
      </c>
      <c r="O42">
        <v>2</v>
      </c>
      <c r="P42">
        <v>2</v>
      </c>
      <c r="Q42">
        <v>5</v>
      </c>
      <c r="R42">
        <v>3</v>
      </c>
      <c r="S42">
        <v>3</v>
      </c>
      <c r="T42">
        <v>2</v>
      </c>
      <c r="U42" s="1" t="d">
        <v>2018-07-05T05:27:31.99999976903200050</v>
      </c>
      <c r="V42" s="1" t="d">
        <v>2018-07-06T10:43:33.00000019837171050</v>
      </c>
      <c r="W42" t="s">
        <v>157</v>
      </c>
      <c r="X42">
        <v>3</v>
      </c>
      <c r="Y42">
        <v>2</v>
      </c>
      <c r="Z42">
        <v>3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3</v>
      </c>
      <c r="AG42">
        <v>2</v>
      </c>
      <c r="AH42">
        <v>5</v>
      </c>
      <c r="AI42">
        <v>3</v>
      </c>
      <c r="AJ42">
        <v>2</v>
      </c>
      <c r="AK42">
        <v>2</v>
      </c>
      <c r="AM42" t="str">
        <f t="shared" si="0"/>
        <v>85</v>
      </c>
      <c r="AN42">
        <f t="shared" si="1"/>
        <v>50</v>
      </c>
      <c r="AO42">
        <f t="shared" si="2"/>
        <v>50</v>
      </c>
      <c r="AP42" s="15">
        <f t="shared" si="3"/>
        <v>50</v>
      </c>
      <c r="AQ42" s="15">
        <f t="shared" si="4"/>
        <v>50</v>
      </c>
      <c r="AR42" s="15">
        <f t="shared" si="5"/>
        <v>50</v>
      </c>
      <c r="AS42" s="15">
        <f t="shared" si="6"/>
        <v>50</v>
      </c>
      <c r="AT42">
        <f t="shared" si="7"/>
        <v>50</v>
      </c>
      <c r="AU42" s="15">
        <f t="shared" si="8"/>
        <v>80</v>
      </c>
      <c r="AV42" s="15">
        <f t="shared" si="9"/>
        <v>80</v>
      </c>
      <c r="AW42">
        <f t="shared" si="10"/>
        <v>80</v>
      </c>
      <c r="AX42">
        <f t="shared" si="11"/>
        <v>50</v>
      </c>
      <c r="BB42" s="14">
        <f t="shared" si="12"/>
        <v>39.157362622499996</v>
      </c>
      <c r="BC42" s="14">
        <f t="shared" si="13"/>
        <v>47.584306900999998</v>
      </c>
      <c r="BE42" s="14">
        <f t="shared" si="14"/>
        <v>51.28908105</v>
      </c>
      <c r="BF42" s="14">
        <f t="shared" si="15"/>
        <v>50.508245774999999</v>
      </c>
      <c r="BH42" t="str">
        <f t="shared" si="16"/>
        <v>60</v>
      </c>
      <c r="BI42">
        <f t="shared" si="17"/>
        <v>50</v>
      </c>
      <c r="BJ42">
        <f t="shared" si="18"/>
        <v>100</v>
      </c>
      <c r="BK42" s="15">
        <f t="shared" si="19"/>
        <v>100</v>
      </c>
      <c r="BL42" s="15">
        <f t="shared" si="20"/>
        <v>100</v>
      </c>
      <c r="BM42" s="15">
        <f t="shared" si="21"/>
        <v>100</v>
      </c>
      <c r="BN42" s="15">
        <f t="shared" si="22"/>
        <v>100</v>
      </c>
      <c r="BO42">
        <f t="shared" si="23"/>
        <v>100</v>
      </c>
      <c r="BP42" s="15">
        <f t="shared" si="24"/>
        <v>60</v>
      </c>
      <c r="BQ42" s="15">
        <f t="shared" si="25"/>
        <v>80</v>
      </c>
      <c r="BR42">
        <f t="shared" si="26"/>
        <v>80</v>
      </c>
      <c r="BS42">
        <f t="shared" si="27"/>
        <v>50</v>
      </c>
    </row>
    <row r="43" spans="1:71" x14ac:dyDescent="0.25">
      <c r="A43">
        <v>42</v>
      </c>
      <c r="B43" t="s">
        <v>158</v>
      </c>
      <c r="C43" t="s">
        <v>40</v>
      </c>
      <c r="D43" s="1" t="d">
        <v>2018-02-06T07:05:22.00000025331973725</v>
      </c>
      <c r="E43" s="1" t="d">
        <v>2018-02-06T07:36:31.99999985285103225</v>
      </c>
      <c r="F43" t="s">
        <v>159</v>
      </c>
      <c r="G43">
        <v>3</v>
      </c>
      <c r="H43">
        <v>1</v>
      </c>
      <c r="I43">
        <v>1</v>
      </c>
      <c r="J43">
        <v>1</v>
      </c>
      <c r="K43">
        <v>1</v>
      </c>
      <c r="L43">
        <v>5</v>
      </c>
      <c r="M43">
        <v>5</v>
      </c>
      <c r="N43">
        <v>1</v>
      </c>
      <c r="O43">
        <v>2</v>
      </c>
      <c r="P43">
        <v>1</v>
      </c>
      <c r="Q43">
        <v>6</v>
      </c>
      <c r="R43">
        <v>5</v>
      </c>
      <c r="S43">
        <v>3</v>
      </c>
      <c r="T43">
        <v>2</v>
      </c>
      <c r="U43" s="1" t="d">
        <v>2018-07-12T13:16:55.00000006053596625</v>
      </c>
      <c r="V43" s="1" t="d">
        <v>2018-07-12T13:55:18.0000002961605775</v>
      </c>
      <c r="W43" t="s">
        <v>160</v>
      </c>
      <c r="X43">
        <v>3</v>
      </c>
      <c r="Y43">
        <v>1</v>
      </c>
      <c r="Z43">
        <v>1</v>
      </c>
      <c r="AA43">
        <v>1</v>
      </c>
      <c r="AB43">
        <v>1</v>
      </c>
      <c r="AC43">
        <v>3</v>
      </c>
      <c r="AD43">
        <v>3</v>
      </c>
      <c r="AE43">
        <v>1</v>
      </c>
      <c r="AF43">
        <v>4</v>
      </c>
      <c r="AG43">
        <v>3</v>
      </c>
      <c r="AH43">
        <v>2</v>
      </c>
      <c r="AI43">
        <v>3</v>
      </c>
      <c r="AJ43">
        <v>3</v>
      </c>
      <c r="AK43">
        <v>4</v>
      </c>
      <c r="AM43" t="str">
        <f t="shared" si="0"/>
        <v>60</v>
      </c>
      <c r="AN43">
        <f t="shared" si="1"/>
        <v>0</v>
      </c>
      <c r="AO43">
        <f t="shared" si="2"/>
        <v>0</v>
      </c>
      <c r="AP43" s="15">
        <f t="shared" si="3"/>
        <v>100</v>
      </c>
      <c r="AQ43" s="15">
        <f t="shared" si="4"/>
        <v>100</v>
      </c>
      <c r="AR43" s="15">
        <f t="shared" si="5"/>
        <v>0</v>
      </c>
      <c r="AS43" s="15">
        <f t="shared" si="6"/>
        <v>0</v>
      </c>
      <c r="AT43">
        <f t="shared" si="7"/>
        <v>100</v>
      </c>
      <c r="AU43" s="15">
        <f t="shared" si="8"/>
        <v>80</v>
      </c>
      <c r="AV43" s="15">
        <f t="shared" si="9"/>
        <v>100</v>
      </c>
      <c r="AW43">
        <f t="shared" si="10"/>
        <v>100</v>
      </c>
      <c r="AX43">
        <f t="shared" si="11"/>
        <v>100</v>
      </c>
      <c r="BB43" s="14">
        <f t="shared" si="12"/>
        <v>48.453365187000003</v>
      </c>
      <c r="BC43" s="14">
        <f t="shared" si="13"/>
        <v>46.678009273999997</v>
      </c>
      <c r="BE43" s="14">
        <f t="shared" si="14"/>
        <v>48.496229088000007</v>
      </c>
      <c r="BF43" s="14">
        <f t="shared" si="15"/>
        <v>32.523523214000001</v>
      </c>
      <c r="BH43" t="str">
        <f t="shared" si="16"/>
        <v>60</v>
      </c>
      <c r="BI43">
        <f t="shared" si="17"/>
        <v>0</v>
      </c>
      <c r="BJ43">
        <f t="shared" si="18"/>
        <v>0</v>
      </c>
      <c r="BK43" s="15">
        <f t="shared" si="19"/>
        <v>100</v>
      </c>
      <c r="BL43" s="15">
        <f t="shared" si="20"/>
        <v>100</v>
      </c>
      <c r="BM43" s="15">
        <f t="shared" si="21"/>
        <v>50</v>
      </c>
      <c r="BN43" s="15">
        <f t="shared" si="22"/>
        <v>50</v>
      </c>
      <c r="BO43">
        <f t="shared" si="23"/>
        <v>100</v>
      </c>
      <c r="BP43" s="15">
        <f t="shared" si="24"/>
        <v>40</v>
      </c>
      <c r="BQ43" s="15">
        <f t="shared" si="25"/>
        <v>60</v>
      </c>
      <c r="BR43">
        <f t="shared" si="26"/>
        <v>20</v>
      </c>
      <c r="BS43">
        <f t="shared" si="27"/>
        <v>50</v>
      </c>
    </row>
    <row r="44" spans="1:71" x14ac:dyDescent="0.25">
      <c r="A44">
        <v>43</v>
      </c>
      <c r="B44" t="s">
        <v>161</v>
      </c>
      <c r="C44" t="s">
        <v>40</v>
      </c>
      <c r="D44" s="1" t="d">
        <v>2018-02-08T04:11:38.99999974295497200</v>
      </c>
      <c r="E44" s="1" t="d">
        <v>2018-02-08T05:23:08.00000029150396575</v>
      </c>
      <c r="F44" t="s">
        <v>162</v>
      </c>
      <c r="G44">
        <v>3</v>
      </c>
      <c r="H44">
        <v>1</v>
      </c>
      <c r="I44">
        <v>2</v>
      </c>
      <c r="J44">
        <v>1</v>
      </c>
      <c r="K44">
        <v>1</v>
      </c>
      <c r="L44">
        <v>2</v>
      </c>
      <c r="M44">
        <v>2</v>
      </c>
      <c r="N44">
        <v>3</v>
      </c>
      <c r="O44">
        <v>3</v>
      </c>
      <c r="P44">
        <v>3</v>
      </c>
      <c r="Q44">
        <v>4</v>
      </c>
      <c r="R44">
        <v>3</v>
      </c>
      <c r="S44">
        <v>2</v>
      </c>
      <c r="T44">
        <v>3</v>
      </c>
      <c r="U44" s="1" t="d">
        <v>2018-07-16T20:03:37.00000001583248400</v>
      </c>
      <c r="V44" s="1" t="d">
        <v>2018-07-16T20:44:30.99999971687793675</v>
      </c>
      <c r="W44" t="s">
        <v>163</v>
      </c>
      <c r="X44">
        <v>2</v>
      </c>
      <c r="Y44">
        <v>2</v>
      </c>
      <c r="Z44">
        <v>2</v>
      </c>
      <c r="AA44">
        <v>2</v>
      </c>
      <c r="AB44">
        <v>5</v>
      </c>
      <c r="AC44">
        <v>4</v>
      </c>
      <c r="AD44">
        <v>2</v>
      </c>
      <c r="AE44">
        <v>5</v>
      </c>
      <c r="AF44">
        <v>4</v>
      </c>
      <c r="AG44">
        <v>1</v>
      </c>
      <c r="AH44">
        <v>4</v>
      </c>
      <c r="AI44">
        <v>1</v>
      </c>
      <c r="AJ44">
        <v>2</v>
      </c>
      <c r="AK44">
        <v>4</v>
      </c>
      <c r="AM44" t="str">
        <f t="shared" si="0"/>
        <v>60</v>
      </c>
      <c r="AN44">
        <f t="shared" si="1"/>
        <v>0</v>
      </c>
      <c r="AO44">
        <f t="shared" si="2"/>
        <v>50</v>
      </c>
      <c r="AP44" s="15">
        <f t="shared" si="3"/>
        <v>100</v>
      </c>
      <c r="AQ44" s="15">
        <f t="shared" si="4"/>
        <v>100</v>
      </c>
      <c r="AR44" s="15">
        <f t="shared" si="5"/>
        <v>75</v>
      </c>
      <c r="AS44" s="15">
        <f t="shared" si="6"/>
        <v>75</v>
      </c>
      <c r="AT44">
        <f t="shared" si="7"/>
        <v>50</v>
      </c>
      <c r="AU44" s="15">
        <f t="shared" si="8"/>
        <v>60</v>
      </c>
      <c r="AV44" s="15">
        <f t="shared" si="9"/>
        <v>60</v>
      </c>
      <c r="AW44">
        <f t="shared" si="10"/>
        <v>60</v>
      </c>
      <c r="AX44">
        <f t="shared" si="11"/>
        <v>50</v>
      </c>
      <c r="BB44" s="14">
        <f t="shared" si="12"/>
        <v>40.309877002999997</v>
      </c>
      <c r="BC44" s="14">
        <f t="shared" si="13"/>
        <v>45.5155218795</v>
      </c>
      <c r="BE44" s="14">
        <f t="shared" si="14"/>
        <v>34.309206919499999</v>
      </c>
      <c r="BF44" s="14">
        <f t="shared" si="15"/>
        <v>36.856758857499997</v>
      </c>
      <c r="BH44" t="str">
        <f t="shared" si="16"/>
        <v>85</v>
      </c>
      <c r="BI44">
        <f t="shared" si="17"/>
        <v>50</v>
      </c>
      <c r="BJ44">
        <f t="shared" si="18"/>
        <v>50</v>
      </c>
      <c r="BK44" s="15">
        <f t="shared" si="19"/>
        <v>75</v>
      </c>
      <c r="BL44" s="15">
        <f t="shared" si="20"/>
        <v>0</v>
      </c>
      <c r="BM44" s="15">
        <f t="shared" si="21"/>
        <v>25</v>
      </c>
      <c r="BN44" s="15">
        <f t="shared" si="22"/>
        <v>75</v>
      </c>
      <c r="BO44">
        <f t="shared" si="23"/>
        <v>0</v>
      </c>
      <c r="BP44" s="15">
        <f t="shared" si="24"/>
        <v>40</v>
      </c>
      <c r="BQ44" s="15">
        <f t="shared" si="25"/>
        <v>100</v>
      </c>
      <c r="BR44">
        <f t="shared" si="26"/>
        <v>60</v>
      </c>
      <c r="BS44">
        <f t="shared" si="27"/>
        <v>0</v>
      </c>
    </row>
    <row r="45" spans="1:71" x14ac:dyDescent="0.25">
      <c r="A45">
        <v>44</v>
      </c>
      <c r="B45" t="s">
        <v>164</v>
      </c>
      <c r="C45" t="s">
        <v>40</v>
      </c>
      <c r="D45" s="1" t="d">
        <v>2018-02-18T22:18:17.9999999748542925</v>
      </c>
      <c r="E45" s="1" t="d">
        <v>2018-02-18T22:41:46.999999936670064675</v>
      </c>
      <c r="F45" t="s">
        <v>165</v>
      </c>
      <c r="G45">
        <v>1</v>
      </c>
      <c r="H45">
        <v>2</v>
      </c>
      <c r="I45">
        <v>3</v>
      </c>
      <c r="J45">
        <v>3</v>
      </c>
      <c r="K45">
        <v>2</v>
      </c>
      <c r="L45">
        <v>4</v>
      </c>
      <c r="M45">
        <v>4</v>
      </c>
      <c r="N45">
        <v>3</v>
      </c>
      <c r="O45">
        <v>2</v>
      </c>
      <c r="P45">
        <v>1</v>
      </c>
      <c r="Q45">
        <v>4</v>
      </c>
      <c r="R45">
        <v>4</v>
      </c>
      <c r="S45">
        <v>2</v>
      </c>
      <c r="T45">
        <v>3</v>
      </c>
      <c r="U45" s="1" t="d">
        <v>2018-07-25T17:23:29.00000017136335425</v>
      </c>
      <c r="V45" s="1" t="d">
        <v>2018-07-25T18:19:33.99999971967190650</v>
      </c>
      <c r="W45" t="s">
        <v>166</v>
      </c>
      <c r="X45">
        <v>4</v>
      </c>
      <c r="Y45">
        <v>2</v>
      </c>
      <c r="Z45">
        <v>2</v>
      </c>
      <c r="AA45">
        <v>3</v>
      </c>
      <c r="AB45">
        <v>3</v>
      </c>
      <c r="AC45">
        <v>2</v>
      </c>
      <c r="AD45">
        <v>2</v>
      </c>
      <c r="AE45">
        <v>2</v>
      </c>
      <c r="AF45">
        <v>5</v>
      </c>
      <c r="AG45">
        <v>4</v>
      </c>
      <c r="AH45">
        <v>2</v>
      </c>
      <c r="AI45">
        <v>2</v>
      </c>
      <c r="AJ45">
        <v>3</v>
      </c>
      <c r="AK45">
        <v>5</v>
      </c>
      <c r="AM45" t="str">
        <f t="shared" si="0"/>
        <v>100</v>
      </c>
      <c r="AN45">
        <f t="shared" si="1"/>
        <v>50</v>
      </c>
      <c r="AO45">
        <f t="shared" si="2"/>
        <v>100</v>
      </c>
      <c r="AP45" s="15">
        <f t="shared" si="3"/>
        <v>50</v>
      </c>
      <c r="AQ45" s="15">
        <f t="shared" si="4"/>
        <v>75</v>
      </c>
      <c r="AR45" s="15">
        <f t="shared" si="5"/>
        <v>25</v>
      </c>
      <c r="AS45" s="15">
        <f t="shared" si="6"/>
        <v>25</v>
      </c>
      <c r="AT45">
        <f t="shared" si="7"/>
        <v>50</v>
      </c>
      <c r="AU45" s="15">
        <f t="shared" si="8"/>
        <v>80</v>
      </c>
      <c r="AV45" s="15">
        <f t="shared" si="9"/>
        <v>100</v>
      </c>
      <c r="AW45">
        <f t="shared" si="10"/>
        <v>60</v>
      </c>
      <c r="AX45">
        <f t="shared" si="11"/>
        <v>75</v>
      </c>
      <c r="BB45" s="14">
        <f t="shared" si="12"/>
        <v>49.955357728500005</v>
      </c>
      <c r="BC45" s="14">
        <f t="shared" si="13"/>
        <v>41.301744651999996</v>
      </c>
      <c r="BE45" s="14">
        <f t="shared" si="14"/>
        <v>40.779891860999996</v>
      </c>
      <c r="BF45" s="14">
        <f t="shared" si="15"/>
        <v>31.191115365999998</v>
      </c>
      <c r="BH45" t="str">
        <f t="shared" si="16"/>
        <v>35</v>
      </c>
      <c r="BI45">
        <f t="shared" si="17"/>
        <v>50</v>
      </c>
      <c r="BJ45">
        <f t="shared" si="18"/>
        <v>50</v>
      </c>
      <c r="BK45" s="15">
        <f t="shared" si="19"/>
        <v>50</v>
      </c>
      <c r="BL45" s="15">
        <f t="shared" si="20"/>
        <v>50</v>
      </c>
      <c r="BM45" s="15">
        <f t="shared" si="21"/>
        <v>75</v>
      </c>
      <c r="BN45" s="15">
        <f t="shared" si="22"/>
        <v>75</v>
      </c>
      <c r="BO45">
        <f t="shared" si="23"/>
        <v>75</v>
      </c>
      <c r="BP45" s="15">
        <f t="shared" si="24"/>
        <v>20</v>
      </c>
      <c r="BQ45" s="15">
        <f t="shared" si="25"/>
        <v>40</v>
      </c>
      <c r="BR45">
        <f t="shared" si="26"/>
        <v>20</v>
      </c>
      <c r="BS45">
        <f t="shared" si="27"/>
        <v>25</v>
      </c>
    </row>
    <row r="46" spans="1:71" x14ac:dyDescent="0.25">
      <c r="A46">
        <v>45</v>
      </c>
      <c r="B46" t="s">
        <v>167</v>
      </c>
      <c r="C46" t="s">
        <v>40</v>
      </c>
      <c r="D46" s="1" t="d">
        <v>2018-02-12T19:34:06.00000029895454725</v>
      </c>
      <c r="E46" s="1" t="d">
        <v>2018-03-13T22:17:26.99999999720603025</v>
      </c>
      <c r="F46" t="s">
        <v>168</v>
      </c>
      <c r="G46">
        <v>4</v>
      </c>
      <c r="H46">
        <v>1</v>
      </c>
      <c r="I46">
        <v>2</v>
      </c>
      <c r="J46">
        <v>4</v>
      </c>
      <c r="K46">
        <v>1</v>
      </c>
      <c r="L46">
        <v>5</v>
      </c>
      <c r="M46">
        <v>1</v>
      </c>
      <c r="N46">
        <v>2</v>
      </c>
      <c r="O46">
        <v>5</v>
      </c>
      <c r="P46">
        <v>4</v>
      </c>
      <c r="Q46">
        <v>2</v>
      </c>
      <c r="R46">
        <v>2</v>
      </c>
      <c r="S46">
        <v>3</v>
      </c>
      <c r="T46">
        <v>5</v>
      </c>
      <c r="AM46" t="str">
        <f t="shared" si="0"/>
        <v>35</v>
      </c>
      <c r="AN46">
        <f t="shared" si="1"/>
        <v>0</v>
      </c>
      <c r="AO46">
        <f t="shared" si="2"/>
        <v>50</v>
      </c>
      <c r="AP46" s="15">
        <f t="shared" si="3"/>
        <v>25</v>
      </c>
      <c r="AQ46" s="15">
        <f t="shared" si="4"/>
        <v>100</v>
      </c>
      <c r="AR46" s="15">
        <f t="shared" si="5"/>
        <v>0</v>
      </c>
      <c r="AS46" s="15">
        <f t="shared" si="6"/>
        <v>100</v>
      </c>
      <c r="AT46">
        <f t="shared" si="7"/>
        <v>75</v>
      </c>
      <c r="AU46" s="15">
        <f t="shared" si="8"/>
        <v>20</v>
      </c>
      <c r="AV46" s="15">
        <f t="shared" si="9"/>
        <v>40</v>
      </c>
      <c r="AW46">
        <f t="shared" si="10"/>
        <v>20</v>
      </c>
      <c r="AX46">
        <f t="shared" si="11"/>
        <v>25</v>
      </c>
      <c r="BB46" s="14">
        <f t="shared" si="12"/>
        <v>42.955098561</v>
      </c>
      <c r="BC46" s="14">
        <f t="shared" si="13"/>
        <v>24.8831256235</v>
      </c>
      <c r="BK46" s="15"/>
      <c r="BL46" s="15"/>
      <c r="BM46" s="15"/>
      <c r="BN46" s="15"/>
      <c r="BP46" s="15"/>
      <c r="BQ46" s="15"/>
    </row>
    <row r="47" spans="1:71" x14ac:dyDescent="0.25">
      <c r="A47">
        <v>46</v>
      </c>
      <c r="B47" t="s">
        <v>169</v>
      </c>
      <c r="C47" t="s">
        <v>40</v>
      </c>
      <c r="D47" s="1" t="d">
        <v>2018-02-22T10:51:35.99999994970857825</v>
      </c>
      <c r="E47" s="1" t="d">
        <v>2018-02-22T12:26:01.00000028964132375</v>
      </c>
      <c r="F47" t="s">
        <v>170</v>
      </c>
      <c r="G47">
        <v>1</v>
      </c>
      <c r="H47">
        <v>2</v>
      </c>
      <c r="I47">
        <v>2</v>
      </c>
      <c r="J47">
        <v>4</v>
      </c>
      <c r="K47">
        <v>3</v>
      </c>
      <c r="L47">
        <v>4</v>
      </c>
      <c r="M47">
        <v>4</v>
      </c>
      <c r="N47">
        <v>3</v>
      </c>
      <c r="O47">
        <v>2</v>
      </c>
      <c r="P47">
        <v>1</v>
      </c>
      <c r="Q47">
        <v>4</v>
      </c>
      <c r="R47">
        <v>2</v>
      </c>
      <c r="S47">
        <v>3</v>
      </c>
      <c r="T47">
        <v>2</v>
      </c>
      <c r="AM47" t="str">
        <f t="shared" si="0"/>
        <v>100</v>
      </c>
      <c r="AN47">
        <f t="shared" si="1"/>
        <v>50</v>
      </c>
      <c r="AO47">
        <f t="shared" si="2"/>
        <v>50</v>
      </c>
      <c r="AP47" s="15">
        <f t="shared" si="3"/>
        <v>25</v>
      </c>
      <c r="AQ47" s="15">
        <f t="shared" si="4"/>
        <v>50</v>
      </c>
      <c r="AR47" s="15">
        <f t="shared" si="5"/>
        <v>25</v>
      </c>
      <c r="AS47" s="15">
        <f t="shared" si="6"/>
        <v>25</v>
      </c>
      <c r="AT47">
        <f t="shared" si="7"/>
        <v>50</v>
      </c>
      <c r="AU47" s="15">
        <f t="shared" si="8"/>
        <v>80</v>
      </c>
      <c r="AV47" s="15">
        <f t="shared" si="9"/>
        <v>100</v>
      </c>
      <c r="AW47">
        <f t="shared" si="10"/>
        <v>60</v>
      </c>
      <c r="AX47">
        <f t="shared" si="11"/>
        <v>25</v>
      </c>
      <c r="BB47" s="14">
        <f t="shared" si="12"/>
        <v>42.336767843499999</v>
      </c>
      <c r="BC47" s="14">
        <f t="shared" si="13"/>
        <v>38.697573017000003</v>
      </c>
      <c r="BK47" s="15"/>
      <c r="BL47" s="15"/>
      <c r="BM47" s="15"/>
      <c r="BN47" s="15"/>
      <c r="BP47" s="15"/>
      <c r="BQ47" s="15"/>
    </row>
    <row r="48" spans="1:71" x14ac:dyDescent="0.25">
      <c r="A48">
        <v>47</v>
      </c>
      <c r="B48" t="s">
        <v>171</v>
      </c>
      <c r="C48" t="s">
        <v>111</v>
      </c>
      <c r="D48" s="1" t="d">
        <v>2018-02-18T09:30:35.99999982398003400</v>
      </c>
      <c r="E48" s="1" t="d">
        <v>2018-02-18T10:07:07.99999988637864900</v>
      </c>
      <c r="F48" t="s">
        <v>172</v>
      </c>
      <c r="G48">
        <v>2</v>
      </c>
      <c r="H48">
        <v>2</v>
      </c>
      <c r="I48">
        <v>3</v>
      </c>
      <c r="J48">
        <v>3</v>
      </c>
      <c r="K48">
        <v>3</v>
      </c>
      <c r="L48">
        <v>5</v>
      </c>
      <c r="M48">
        <v>3</v>
      </c>
      <c r="N48">
        <v>3</v>
      </c>
      <c r="O48">
        <v>2</v>
      </c>
      <c r="P48">
        <v>1</v>
      </c>
      <c r="Q48">
        <v>6</v>
      </c>
      <c r="R48">
        <v>5</v>
      </c>
      <c r="S48">
        <v>3</v>
      </c>
      <c r="T48">
        <v>2</v>
      </c>
      <c r="U48" s="1" t="d">
        <v>2018-08-25T16:22:48.99999983143061550</v>
      </c>
      <c r="V48" s="1" t="d">
        <v>2018-08-25T22:05:51.00000011734664175</v>
      </c>
      <c r="W48" t="s">
        <v>173</v>
      </c>
      <c r="X48">
        <v>3</v>
      </c>
      <c r="Y48">
        <v>2</v>
      </c>
      <c r="Z48">
        <v>3</v>
      </c>
      <c r="AA48">
        <v>3</v>
      </c>
      <c r="AB48">
        <v>2</v>
      </c>
      <c r="AC48">
        <v>3</v>
      </c>
      <c r="AD48">
        <v>2</v>
      </c>
      <c r="AE48">
        <v>3</v>
      </c>
      <c r="AF48">
        <v>2</v>
      </c>
      <c r="AG48">
        <v>1</v>
      </c>
      <c r="AH48">
        <v>5</v>
      </c>
      <c r="AI48">
        <v>3</v>
      </c>
      <c r="AJ48">
        <v>3</v>
      </c>
      <c r="AK48">
        <v>4</v>
      </c>
      <c r="AM48" t="str">
        <f t="shared" si="0"/>
        <v>85</v>
      </c>
      <c r="AN48">
        <f t="shared" si="1"/>
        <v>50</v>
      </c>
      <c r="AO48">
        <f t="shared" si="2"/>
        <v>100</v>
      </c>
      <c r="AP48" s="15">
        <f t="shared" si="3"/>
        <v>50</v>
      </c>
      <c r="AQ48" s="15">
        <f t="shared" si="4"/>
        <v>50</v>
      </c>
      <c r="AR48" s="15">
        <f t="shared" si="5"/>
        <v>0</v>
      </c>
      <c r="AS48" s="15">
        <f t="shared" si="6"/>
        <v>50</v>
      </c>
      <c r="AT48">
        <f t="shared" si="7"/>
        <v>50</v>
      </c>
      <c r="AU48" s="15">
        <f t="shared" si="8"/>
        <v>80</v>
      </c>
      <c r="AV48" s="15">
        <f t="shared" si="9"/>
        <v>100</v>
      </c>
      <c r="AW48">
        <f t="shared" si="10"/>
        <v>100</v>
      </c>
      <c r="AX48">
        <f t="shared" si="11"/>
        <v>100</v>
      </c>
      <c r="BB48" s="14">
        <f t="shared" si="12"/>
        <v>45.5416976745</v>
      </c>
      <c r="BC48" s="14">
        <f t="shared" si="13"/>
        <v>49.475937494</v>
      </c>
      <c r="BE48" s="14">
        <f t="shared" si="14"/>
        <v>42.589369171999998</v>
      </c>
      <c r="BF48" s="14">
        <f t="shared" si="15"/>
        <v>48.822393900499996</v>
      </c>
      <c r="BH48" t="str">
        <f t="shared" si="16"/>
        <v>60</v>
      </c>
      <c r="BI48">
        <f t="shared" si="17"/>
        <v>50</v>
      </c>
      <c r="BJ48">
        <f t="shared" si="18"/>
        <v>100</v>
      </c>
      <c r="BK48" s="15">
        <f t="shared" si="19"/>
        <v>50</v>
      </c>
      <c r="BL48" s="15">
        <f t="shared" si="20"/>
        <v>75</v>
      </c>
      <c r="BM48" s="15">
        <f t="shared" si="21"/>
        <v>50</v>
      </c>
      <c r="BN48" s="15">
        <f t="shared" si="22"/>
        <v>75</v>
      </c>
      <c r="BO48">
        <f t="shared" si="23"/>
        <v>50</v>
      </c>
      <c r="BP48" s="15">
        <f t="shared" si="24"/>
        <v>80</v>
      </c>
      <c r="BQ48" s="15">
        <f t="shared" si="25"/>
        <v>100</v>
      </c>
      <c r="BR48">
        <f t="shared" si="26"/>
        <v>80</v>
      </c>
      <c r="BS48">
        <f t="shared" si="27"/>
        <v>50</v>
      </c>
    </row>
    <row r="49" spans="1:71" x14ac:dyDescent="0.25">
      <c r="A49">
        <v>48</v>
      </c>
      <c r="B49" t="s">
        <v>174</v>
      </c>
      <c r="C49" t="s">
        <v>40</v>
      </c>
      <c r="D49" s="1" t="d">
        <v>2018-02-28T18:04:35.00000016298145175</v>
      </c>
      <c r="E49" s="1" t="d">
        <v>2018-03-02T09:47:40.00000031199306150</v>
      </c>
      <c r="F49" t="s">
        <v>175</v>
      </c>
      <c r="G49">
        <v>4</v>
      </c>
      <c r="H49">
        <v>1</v>
      </c>
      <c r="I49">
        <v>2</v>
      </c>
      <c r="J49">
        <v>2</v>
      </c>
      <c r="K49">
        <v>2</v>
      </c>
      <c r="L49">
        <v>5</v>
      </c>
      <c r="M49">
        <v>4</v>
      </c>
      <c r="N49">
        <v>3</v>
      </c>
      <c r="O49">
        <v>2</v>
      </c>
      <c r="P49">
        <v>4</v>
      </c>
      <c r="Q49">
        <v>4</v>
      </c>
      <c r="R49">
        <v>4</v>
      </c>
      <c r="S49">
        <v>3</v>
      </c>
      <c r="T49">
        <v>4</v>
      </c>
      <c r="U49" s="1" t="d">
        <v>2018-09-26T13:34:43.99999975226819550</v>
      </c>
      <c r="V49" s="1" t="d">
        <v>2018-09-26T15:24:59.00000025518238600</v>
      </c>
      <c r="W49" t="s">
        <v>176</v>
      </c>
      <c r="X49">
        <v>4</v>
      </c>
      <c r="Y49">
        <v>1</v>
      </c>
      <c r="Z49">
        <v>1</v>
      </c>
      <c r="AA49">
        <v>5</v>
      </c>
      <c r="AB49">
        <v>1</v>
      </c>
      <c r="AC49">
        <v>4</v>
      </c>
      <c r="AD49">
        <v>3</v>
      </c>
      <c r="AE49">
        <v>2</v>
      </c>
      <c r="AF49">
        <v>3</v>
      </c>
      <c r="AG49">
        <v>2</v>
      </c>
      <c r="AH49">
        <v>4</v>
      </c>
      <c r="AI49">
        <v>4</v>
      </c>
      <c r="AJ49">
        <v>3</v>
      </c>
      <c r="AK49">
        <v>4</v>
      </c>
      <c r="AM49" t="str">
        <f t="shared" si="0"/>
        <v>35</v>
      </c>
      <c r="AN49">
        <f t="shared" si="1"/>
        <v>0</v>
      </c>
      <c r="AO49">
        <f t="shared" si="2"/>
        <v>50</v>
      </c>
      <c r="AP49" s="15">
        <f t="shared" si="3"/>
        <v>75</v>
      </c>
      <c r="AQ49" s="15">
        <f t="shared" si="4"/>
        <v>75</v>
      </c>
      <c r="AR49" s="15">
        <f t="shared" si="5"/>
        <v>0</v>
      </c>
      <c r="AS49" s="15">
        <f t="shared" si="6"/>
        <v>25</v>
      </c>
      <c r="AT49">
        <f t="shared" si="7"/>
        <v>50</v>
      </c>
      <c r="AU49" s="15">
        <f t="shared" si="8"/>
        <v>80</v>
      </c>
      <c r="AV49" s="15">
        <f t="shared" si="9"/>
        <v>40</v>
      </c>
      <c r="AW49">
        <f t="shared" si="10"/>
        <v>60</v>
      </c>
      <c r="AX49">
        <f t="shared" si="11"/>
        <v>75</v>
      </c>
      <c r="BB49" s="14">
        <f t="shared" si="12"/>
        <v>39.308210580999997</v>
      </c>
      <c r="BC49" s="14">
        <f t="shared" si="13"/>
        <v>36.752951365999998</v>
      </c>
      <c r="BE49" s="14">
        <f t="shared" si="14"/>
        <v>35.192608369999995</v>
      </c>
      <c r="BF49" s="14">
        <f t="shared" si="15"/>
        <v>44.772107566499997</v>
      </c>
      <c r="BH49" t="str">
        <f t="shared" si="16"/>
        <v>35</v>
      </c>
      <c r="BI49">
        <f t="shared" si="17"/>
        <v>0</v>
      </c>
      <c r="BJ49">
        <f t="shared" si="18"/>
        <v>0</v>
      </c>
      <c r="BK49" s="15">
        <f t="shared" si="19"/>
        <v>0</v>
      </c>
      <c r="BL49" s="15">
        <f t="shared" si="20"/>
        <v>100</v>
      </c>
      <c r="BM49" s="15">
        <f t="shared" si="21"/>
        <v>25</v>
      </c>
      <c r="BN49" s="15">
        <f t="shared" si="22"/>
        <v>50</v>
      </c>
      <c r="BO49">
        <f t="shared" si="23"/>
        <v>75</v>
      </c>
      <c r="BP49" s="15">
        <f t="shared" si="24"/>
        <v>60</v>
      </c>
      <c r="BQ49" s="15">
        <f t="shared" si="25"/>
        <v>80</v>
      </c>
      <c r="BR49">
        <f t="shared" si="26"/>
        <v>60</v>
      </c>
      <c r="BS49">
        <f t="shared" si="27"/>
        <v>75</v>
      </c>
    </row>
    <row r="50" spans="1:71" x14ac:dyDescent="0.25">
      <c r="A50">
        <v>49</v>
      </c>
      <c r="B50" t="s">
        <v>177</v>
      </c>
      <c r="C50" t="s">
        <v>40</v>
      </c>
      <c r="D50" s="1" t="d">
        <v>2018-03-30T09:02:00.99999999627470925</v>
      </c>
      <c r="E50" s="1" t="d">
        <v>2018-03-30T11:21:10.99999997299164375</v>
      </c>
      <c r="F50" t="s">
        <v>178</v>
      </c>
      <c r="G50">
        <v>2</v>
      </c>
      <c r="H50">
        <v>2</v>
      </c>
      <c r="I50">
        <v>1</v>
      </c>
      <c r="J50">
        <v>5</v>
      </c>
      <c r="K50">
        <v>4</v>
      </c>
      <c r="L50">
        <v>5</v>
      </c>
      <c r="M50">
        <v>5</v>
      </c>
      <c r="N50">
        <v>4</v>
      </c>
      <c r="O50">
        <v>1</v>
      </c>
      <c r="P50">
        <v>1</v>
      </c>
      <c r="Q50">
        <v>6</v>
      </c>
      <c r="R50">
        <v>5</v>
      </c>
      <c r="S50">
        <v>3</v>
      </c>
      <c r="T50">
        <v>3</v>
      </c>
      <c r="AM50" t="str">
        <f t="shared" si="0"/>
        <v>85</v>
      </c>
      <c r="AN50">
        <f t="shared" si="1"/>
        <v>50</v>
      </c>
      <c r="AO50">
        <f t="shared" si="2"/>
        <v>0</v>
      </c>
      <c r="AP50" s="15">
        <f t="shared" si="3"/>
        <v>0</v>
      </c>
      <c r="AQ50" s="15">
        <f t="shared" si="4"/>
        <v>25</v>
      </c>
      <c r="AR50" s="15">
        <f t="shared" si="5"/>
        <v>0</v>
      </c>
      <c r="AS50" s="15">
        <f t="shared" si="6"/>
        <v>0</v>
      </c>
      <c r="AT50">
        <f t="shared" si="7"/>
        <v>25</v>
      </c>
      <c r="AU50" s="15">
        <f t="shared" si="8"/>
        <v>100</v>
      </c>
      <c r="AV50" s="15">
        <f t="shared" si="9"/>
        <v>100</v>
      </c>
      <c r="AW50">
        <f t="shared" si="10"/>
        <v>100</v>
      </c>
      <c r="AX50">
        <f t="shared" si="11"/>
        <v>100</v>
      </c>
      <c r="BB50" s="14">
        <f t="shared" si="12"/>
        <v>30.035176184499996</v>
      </c>
      <c r="BC50" s="14">
        <f t="shared" si="13"/>
        <v>53.262468579999997</v>
      </c>
      <c r="BK50" s="15"/>
      <c r="BL50" s="15"/>
      <c r="BM50" s="15"/>
      <c r="BN50" s="15"/>
      <c r="BP50" s="15"/>
      <c r="BQ50" s="15"/>
    </row>
    <row r="51" spans="1:71" x14ac:dyDescent="0.25">
      <c r="A51">
        <v>50</v>
      </c>
      <c r="B51" t="s">
        <v>179</v>
      </c>
      <c r="C51" t="s">
        <v>40</v>
      </c>
      <c r="D51" s="1" t="d">
        <v>2018-02-22T19:57:02.9999996954575200</v>
      </c>
      <c r="E51" s="1" t="d">
        <v>2018-02-22T20:39:10.00000011641532075</v>
      </c>
      <c r="F51" t="s">
        <v>180</v>
      </c>
      <c r="G51">
        <v>2</v>
      </c>
      <c r="H51">
        <v>3</v>
      </c>
      <c r="I51">
        <v>3</v>
      </c>
      <c r="J51">
        <v>5</v>
      </c>
      <c r="K51">
        <v>5</v>
      </c>
      <c r="L51">
        <v>5</v>
      </c>
      <c r="M51">
        <v>5</v>
      </c>
      <c r="N51">
        <v>5</v>
      </c>
      <c r="O51">
        <v>1</v>
      </c>
      <c r="P51">
        <v>1</v>
      </c>
      <c r="Q51">
        <v>6</v>
      </c>
      <c r="R51">
        <v>5</v>
      </c>
      <c r="S51">
        <v>2</v>
      </c>
      <c r="T51">
        <v>1</v>
      </c>
      <c r="AM51" t="str">
        <f t="shared" si="0"/>
        <v>85</v>
      </c>
      <c r="AN51">
        <f t="shared" si="1"/>
        <v>100</v>
      </c>
      <c r="AO51">
        <f t="shared" si="2"/>
        <v>100</v>
      </c>
      <c r="AP51" s="15">
        <f t="shared" si="3"/>
        <v>0</v>
      </c>
      <c r="AQ51" s="15">
        <f t="shared" si="4"/>
        <v>0</v>
      </c>
      <c r="AR51" s="15">
        <f t="shared" si="5"/>
        <v>0</v>
      </c>
      <c r="AS51" s="15">
        <f t="shared" si="6"/>
        <v>0</v>
      </c>
      <c r="AT51">
        <f t="shared" si="7"/>
        <v>0</v>
      </c>
      <c r="AU51" s="15">
        <f t="shared" si="8"/>
        <v>100</v>
      </c>
      <c r="AV51" s="15">
        <f t="shared" si="9"/>
        <v>100</v>
      </c>
      <c r="AW51">
        <f t="shared" si="10"/>
        <v>100</v>
      </c>
      <c r="AX51">
        <f t="shared" si="11"/>
        <v>100</v>
      </c>
      <c r="BB51" s="14">
        <f t="shared" si="12"/>
        <v>35.568764114499999</v>
      </c>
      <c r="BC51" s="14">
        <f t="shared" si="13"/>
        <v>49.555412105000002</v>
      </c>
      <c r="BK51" s="15"/>
      <c r="BL51" s="15"/>
      <c r="BM51" s="15"/>
      <c r="BN51" s="15"/>
      <c r="BP51" s="15"/>
      <c r="BQ51" s="15"/>
    </row>
    <row r="52" spans="1:71" x14ac:dyDescent="0.25">
      <c r="A52">
        <v>51</v>
      </c>
      <c r="B52" t="s">
        <v>181</v>
      </c>
      <c r="C52" t="s">
        <v>40</v>
      </c>
      <c r="D52" s="1" t="d">
        <v>2018-03-27T14:33:28.00000000745058150</v>
      </c>
      <c r="E52" s="1" t="d">
        <v>2018-03-27T15:03:46.00000002421438650</v>
      </c>
      <c r="F52" t="s">
        <v>182</v>
      </c>
      <c r="G52">
        <v>4</v>
      </c>
      <c r="H52">
        <v>1</v>
      </c>
      <c r="I52">
        <v>1</v>
      </c>
      <c r="J52">
        <v>1</v>
      </c>
      <c r="K52">
        <v>2</v>
      </c>
      <c r="L52">
        <v>1</v>
      </c>
      <c r="M52">
        <v>1</v>
      </c>
      <c r="N52">
        <v>3</v>
      </c>
      <c r="O52">
        <v>3</v>
      </c>
      <c r="P52">
        <v>3</v>
      </c>
      <c r="Q52">
        <v>1</v>
      </c>
      <c r="R52">
        <v>2</v>
      </c>
      <c r="S52">
        <v>2</v>
      </c>
      <c r="T52">
        <v>2</v>
      </c>
      <c r="U52" s="1" t="d">
        <v>2018-08-31T09:05:15.00000008381903175</v>
      </c>
      <c r="V52" s="1" t="d">
        <v>2018-09-01T11:07:02.00000016018748200</v>
      </c>
      <c r="W52" t="s">
        <v>183</v>
      </c>
      <c r="X52">
        <v>4</v>
      </c>
      <c r="Y52">
        <v>2</v>
      </c>
      <c r="Z52">
        <v>3</v>
      </c>
      <c r="AA52">
        <v>1</v>
      </c>
      <c r="AB52">
        <v>1</v>
      </c>
      <c r="AC52">
        <v>1</v>
      </c>
      <c r="AD52">
        <v>1</v>
      </c>
      <c r="AE52">
        <v>4</v>
      </c>
      <c r="AF52">
        <v>6</v>
      </c>
      <c r="AG52">
        <v>1</v>
      </c>
      <c r="AH52">
        <v>1</v>
      </c>
      <c r="AI52">
        <v>2</v>
      </c>
      <c r="AJ52">
        <v>3</v>
      </c>
      <c r="AK52">
        <v>3</v>
      </c>
      <c r="AM52" t="str">
        <f t="shared" si="0"/>
        <v>35</v>
      </c>
      <c r="AN52">
        <f t="shared" si="1"/>
        <v>0</v>
      </c>
      <c r="AO52">
        <f t="shared" si="2"/>
        <v>0</v>
      </c>
      <c r="AP52" s="15">
        <f t="shared" si="3"/>
        <v>100</v>
      </c>
      <c r="AQ52" s="15">
        <f t="shared" si="4"/>
        <v>75</v>
      </c>
      <c r="AR52" s="15">
        <f t="shared" si="5"/>
        <v>100</v>
      </c>
      <c r="AS52" s="15">
        <f t="shared" si="6"/>
        <v>100</v>
      </c>
      <c r="AT52">
        <f t="shared" si="7"/>
        <v>50</v>
      </c>
      <c r="AU52" s="15">
        <f t="shared" si="8"/>
        <v>60</v>
      </c>
      <c r="AV52" s="15">
        <f t="shared" si="9"/>
        <v>60</v>
      </c>
      <c r="AW52">
        <f t="shared" si="10"/>
        <v>0</v>
      </c>
      <c r="AX52">
        <f t="shared" si="11"/>
        <v>25</v>
      </c>
      <c r="BB52" s="14">
        <f t="shared" si="12"/>
        <v>33.597729307999998</v>
      </c>
      <c r="BC52" s="14">
        <f t="shared" si="13"/>
        <v>41.245474366499998</v>
      </c>
      <c r="BE52" s="14">
        <f t="shared" si="14"/>
        <v>46.582494492000002</v>
      </c>
      <c r="BF52" s="14">
        <f t="shared" si="15"/>
        <v>32.518381927499995</v>
      </c>
      <c r="BH52" t="str">
        <f t="shared" si="16"/>
        <v>35</v>
      </c>
      <c r="BI52">
        <f t="shared" si="17"/>
        <v>50</v>
      </c>
      <c r="BJ52">
        <f t="shared" si="18"/>
        <v>100</v>
      </c>
      <c r="BK52" s="15">
        <f t="shared" si="19"/>
        <v>100</v>
      </c>
      <c r="BL52" s="15">
        <f t="shared" si="20"/>
        <v>100</v>
      </c>
      <c r="BM52" s="15">
        <f t="shared" si="21"/>
        <v>100</v>
      </c>
      <c r="BN52" s="15">
        <f t="shared" si="22"/>
        <v>100</v>
      </c>
      <c r="BO52">
        <f t="shared" si="23"/>
        <v>25</v>
      </c>
      <c r="BP52" s="15">
        <f t="shared" si="24"/>
        <v>0</v>
      </c>
      <c r="BQ52" s="15">
        <f t="shared" si="25"/>
        <v>100</v>
      </c>
      <c r="BR52">
        <f t="shared" si="26"/>
        <v>0</v>
      </c>
      <c r="BS52">
        <f t="shared" si="27"/>
        <v>25</v>
      </c>
    </row>
    <row r="53" spans="1:71" x14ac:dyDescent="0.25">
      <c r="A53">
        <v>52</v>
      </c>
      <c r="B53" t="s">
        <v>184</v>
      </c>
      <c r="C53" t="s">
        <v>40</v>
      </c>
      <c r="D53" s="1" t="d">
        <v>2018-03-26T16:38:35.99999992176890100</v>
      </c>
      <c r="E53" s="1" t="d">
        <v>2018-03-28T13:58:20.99999969825148300</v>
      </c>
      <c r="F53" t="s">
        <v>185</v>
      </c>
      <c r="G53">
        <v>3</v>
      </c>
      <c r="H53">
        <v>3</v>
      </c>
      <c r="I53">
        <v>2</v>
      </c>
      <c r="J53">
        <v>3</v>
      </c>
      <c r="K53">
        <v>5</v>
      </c>
      <c r="L53">
        <v>3</v>
      </c>
      <c r="M53">
        <v>4</v>
      </c>
      <c r="N53">
        <v>4</v>
      </c>
      <c r="O53">
        <v>2</v>
      </c>
      <c r="P53">
        <v>2</v>
      </c>
      <c r="Q53">
        <v>5</v>
      </c>
      <c r="R53">
        <v>4</v>
      </c>
      <c r="S53">
        <v>2</v>
      </c>
      <c r="T53">
        <v>3</v>
      </c>
      <c r="AM53" t="str">
        <f t="shared" si="0"/>
        <v>60</v>
      </c>
      <c r="AN53">
        <f t="shared" si="1"/>
        <v>100</v>
      </c>
      <c r="AO53">
        <f t="shared" si="2"/>
        <v>50</v>
      </c>
      <c r="AP53" s="15">
        <f t="shared" si="3"/>
        <v>50</v>
      </c>
      <c r="AQ53" s="15">
        <f t="shared" si="4"/>
        <v>0</v>
      </c>
      <c r="AR53" s="15">
        <f t="shared" si="5"/>
        <v>50</v>
      </c>
      <c r="AS53" s="15">
        <f t="shared" si="6"/>
        <v>25</v>
      </c>
      <c r="AT53">
        <f t="shared" si="7"/>
        <v>25</v>
      </c>
      <c r="AU53" s="15">
        <f t="shared" si="8"/>
        <v>80</v>
      </c>
      <c r="AV53" s="15">
        <f t="shared" si="9"/>
        <v>80</v>
      </c>
      <c r="AW53">
        <f t="shared" si="10"/>
        <v>80</v>
      </c>
      <c r="AX53">
        <f t="shared" si="11"/>
        <v>75</v>
      </c>
      <c r="BB53" s="14">
        <f t="shared" si="12"/>
        <v>34.319139692500002</v>
      </c>
      <c r="BC53" s="14">
        <f t="shared" si="13"/>
        <v>48.366695245999992</v>
      </c>
      <c r="BK53" s="15"/>
      <c r="BL53" s="15"/>
      <c r="BM53" s="15"/>
      <c r="BN53" s="15"/>
      <c r="BP53" s="15"/>
      <c r="BQ53" s="15"/>
    </row>
    <row r="54" spans="1:71" x14ac:dyDescent="0.25">
      <c r="A54">
        <v>53</v>
      </c>
      <c r="B54" t="s">
        <v>186</v>
      </c>
      <c r="C54" t="s">
        <v>40</v>
      </c>
      <c r="D54" s="1" t="d">
        <v>2018-03-29T06:48:20.99999983794986925</v>
      </c>
      <c r="E54" s="1" t="d">
        <v>2018-03-29T07:30:27.000000025145709525</v>
      </c>
      <c r="F54" t="s">
        <v>187</v>
      </c>
      <c r="G54">
        <v>2</v>
      </c>
      <c r="H54">
        <v>2</v>
      </c>
      <c r="I54">
        <v>3</v>
      </c>
      <c r="J54">
        <v>4</v>
      </c>
      <c r="K54">
        <v>4</v>
      </c>
      <c r="L54">
        <v>4</v>
      </c>
      <c r="M54">
        <v>4</v>
      </c>
      <c r="N54">
        <v>2</v>
      </c>
      <c r="O54">
        <v>4</v>
      </c>
      <c r="P54">
        <v>2</v>
      </c>
      <c r="Q54">
        <v>3</v>
      </c>
      <c r="R54">
        <v>2</v>
      </c>
      <c r="S54">
        <v>3</v>
      </c>
      <c r="T54">
        <v>2</v>
      </c>
      <c r="U54" s="1" t="d">
        <v>2018-08-24T06:30:41.99999996926635300</v>
      </c>
      <c r="V54" s="1" t="d">
        <v>2018-08-24T09:49:00.00000015366822150</v>
      </c>
      <c r="W54" t="s">
        <v>188</v>
      </c>
      <c r="X54">
        <v>2</v>
      </c>
      <c r="Y54">
        <v>2</v>
      </c>
      <c r="Z54">
        <v>3</v>
      </c>
      <c r="AA54">
        <v>3</v>
      </c>
      <c r="AB54">
        <v>4</v>
      </c>
      <c r="AC54">
        <v>3</v>
      </c>
      <c r="AD54">
        <v>2</v>
      </c>
      <c r="AE54">
        <v>4</v>
      </c>
      <c r="AF54">
        <v>3</v>
      </c>
      <c r="AG54">
        <v>2</v>
      </c>
      <c r="AH54">
        <v>4</v>
      </c>
      <c r="AI54">
        <v>3</v>
      </c>
      <c r="AJ54">
        <v>3</v>
      </c>
      <c r="AK54">
        <v>4</v>
      </c>
      <c r="AM54" t="str">
        <f t="shared" si="0"/>
        <v>85</v>
      </c>
      <c r="AN54">
        <f t="shared" si="1"/>
        <v>50</v>
      </c>
      <c r="AO54">
        <f t="shared" si="2"/>
        <v>100</v>
      </c>
      <c r="AP54" s="15">
        <f t="shared" si="3"/>
        <v>25</v>
      </c>
      <c r="AQ54" s="15">
        <f t="shared" si="4"/>
        <v>25</v>
      </c>
      <c r="AR54" s="15">
        <f t="shared" si="5"/>
        <v>25</v>
      </c>
      <c r="AS54" s="15">
        <f t="shared" si="6"/>
        <v>25</v>
      </c>
      <c r="AT54">
        <f t="shared" si="7"/>
        <v>75</v>
      </c>
      <c r="AU54" s="15">
        <f t="shared" si="8"/>
        <v>40</v>
      </c>
      <c r="AV54" s="15">
        <f t="shared" si="9"/>
        <v>80</v>
      </c>
      <c r="AW54">
        <f t="shared" si="10"/>
        <v>40</v>
      </c>
      <c r="AX54">
        <f t="shared" si="11"/>
        <v>25</v>
      </c>
      <c r="BB54" s="14">
        <f t="shared" si="12"/>
        <v>48.56465154</v>
      </c>
      <c r="BC54" s="14">
        <f t="shared" si="13"/>
        <v>28.387015837</v>
      </c>
      <c r="BE54" s="14">
        <f t="shared" si="14"/>
        <v>38.804704892499998</v>
      </c>
      <c r="BF54" s="14">
        <f t="shared" si="15"/>
        <v>44.077100926500002</v>
      </c>
      <c r="BH54" t="str">
        <f t="shared" si="16"/>
        <v>85</v>
      </c>
      <c r="BI54">
        <f t="shared" si="17"/>
        <v>50</v>
      </c>
      <c r="BJ54">
        <f t="shared" si="18"/>
        <v>100</v>
      </c>
      <c r="BK54" s="15">
        <f t="shared" si="19"/>
        <v>50</v>
      </c>
      <c r="BL54" s="15">
        <f t="shared" si="20"/>
        <v>25</v>
      </c>
      <c r="BM54" s="15">
        <f t="shared" si="21"/>
        <v>50</v>
      </c>
      <c r="BN54" s="15">
        <f t="shared" si="22"/>
        <v>75</v>
      </c>
      <c r="BO54">
        <f t="shared" si="23"/>
        <v>25</v>
      </c>
      <c r="BP54" s="15">
        <f t="shared" si="24"/>
        <v>60</v>
      </c>
      <c r="BQ54" s="15">
        <f t="shared" si="25"/>
        <v>80</v>
      </c>
      <c r="BR54">
        <f t="shared" si="26"/>
        <v>60</v>
      </c>
      <c r="BS54">
        <f t="shared" si="27"/>
        <v>50</v>
      </c>
    </row>
    <row r="55" spans="1:71" x14ac:dyDescent="0.25">
      <c r="A55">
        <v>54</v>
      </c>
      <c r="B55" t="s">
        <v>189</v>
      </c>
      <c r="C55" t="s">
        <v>40</v>
      </c>
      <c r="D55" s="1" t="d">
        <v>2018-04-02T07:08:25.000000284053384925</v>
      </c>
      <c r="E55" s="1" t="d">
        <v>2018-04-02T07:53:11.999999759718775650</v>
      </c>
      <c r="F55" t="s">
        <v>190</v>
      </c>
      <c r="G55">
        <v>3</v>
      </c>
      <c r="H55">
        <v>2</v>
      </c>
      <c r="I55">
        <v>2</v>
      </c>
      <c r="J55">
        <v>2</v>
      </c>
      <c r="K55">
        <v>3</v>
      </c>
      <c r="L55">
        <v>2</v>
      </c>
      <c r="M55">
        <v>2</v>
      </c>
      <c r="N55">
        <v>4</v>
      </c>
      <c r="O55">
        <v>3</v>
      </c>
      <c r="P55">
        <v>2</v>
      </c>
      <c r="Q55">
        <v>5</v>
      </c>
      <c r="R55">
        <v>4</v>
      </c>
      <c r="S55">
        <v>3</v>
      </c>
      <c r="T55">
        <v>2</v>
      </c>
      <c r="U55" s="1" t="d">
        <v>2018-10-08T17:26:37.999999718740582800</v>
      </c>
      <c r="V55" s="1" t="d">
        <v>2018-10-08T18:09:44.99999970663339225</v>
      </c>
      <c r="W55" t="s">
        <v>191</v>
      </c>
      <c r="X55">
        <v>3</v>
      </c>
      <c r="Y55">
        <v>2</v>
      </c>
      <c r="Z55">
        <v>2</v>
      </c>
      <c r="AA55">
        <v>3</v>
      </c>
      <c r="AB55">
        <v>3</v>
      </c>
      <c r="AC55">
        <v>3</v>
      </c>
      <c r="AD55">
        <v>2</v>
      </c>
      <c r="AE55">
        <v>4</v>
      </c>
      <c r="AF55">
        <v>4</v>
      </c>
      <c r="AG55">
        <v>3</v>
      </c>
      <c r="AH55">
        <v>2</v>
      </c>
      <c r="AI55">
        <v>2</v>
      </c>
      <c r="AJ55">
        <v>3</v>
      </c>
      <c r="AK55">
        <v>4</v>
      </c>
      <c r="AM55" t="str">
        <f t="shared" si="0"/>
        <v>60</v>
      </c>
      <c r="AN55">
        <f t="shared" si="1"/>
        <v>50</v>
      </c>
      <c r="AO55">
        <f t="shared" si="2"/>
        <v>50</v>
      </c>
      <c r="AP55" s="15">
        <f t="shared" si="3"/>
        <v>75</v>
      </c>
      <c r="AQ55" s="15">
        <f t="shared" si="4"/>
        <v>50</v>
      </c>
      <c r="AR55" s="15">
        <f t="shared" si="5"/>
        <v>75</v>
      </c>
      <c r="AS55" s="15">
        <f t="shared" si="6"/>
        <v>75</v>
      </c>
      <c r="AT55">
        <f t="shared" si="7"/>
        <v>25</v>
      </c>
      <c r="AU55" s="15">
        <f t="shared" si="8"/>
        <v>60</v>
      </c>
      <c r="AV55" s="15">
        <f t="shared" si="9"/>
        <v>80</v>
      </c>
      <c r="AW55">
        <f t="shared" si="10"/>
        <v>80</v>
      </c>
      <c r="AX55">
        <f t="shared" si="11"/>
        <v>75</v>
      </c>
      <c r="BB55" s="14">
        <f t="shared" si="12"/>
        <v>34.360925407500005</v>
      </c>
      <c r="BC55" s="14">
        <f t="shared" si="13"/>
        <v>53.302279089999992</v>
      </c>
      <c r="BE55" s="14">
        <f t="shared" si="14"/>
        <v>37.228554285499996</v>
      </c>
      <c r="BF55" s="14">
        <f t="shared" si="15"/>
        <v>32.796345993999999</v>
      </c>
      <c r="BH55" t="str">
        <f t="shared" si="16"/>
        <v>60</v>
      </c>
      <c r="BI55">
        <f t="shared" si="17"/>
        <v>50</v>
      </c>
      <c r="BJ55">
        <f t="shared" si="18"/>
        <v>50</v>
      </c>
      <c r="BK55" s="15">
        <f t="shared" si="19"/>
        <v>50</v>
      </c>
      <c r="BL55" s="15">
        <f t="shared" si="20"/>
        <v>50</v>
      </c>
      <c r="BM55" s="15">
        <f t="shared" si="21"/>
        <v>50</v>
      </c>
      <c r="BN55" s="15">
        <f t="shared" si="22"/>
        <v>75</v>
      </c>
      <c r="BO55">
        <f t="shared" si="23"/>
        <v>25</v>
      </c>
      <c r="BP55" s="15">
        <f t="shared" si="24"/>
        <v>40</v>
      </c>
      <c r="BQ55" s="15">
        <f t="shared" si="25"/>
        <v>60</v>
      </c>
      <c r="BR55">
        <f t="shared" si="26"/>
        <v>20</v>
      </c>
      <c r="BS55">
        <f t="shared" si="27"/>
        <v>25</v>
      </c>
    </row>
    <row r="56" spans="1:71" x14ac:dyDescent="0.25">
      <c r="A56">
        <v>55</v>
      </c>
      <c r="B56" t="s">
        <v>192</v>
      </c>
      <c r="C56" t="s">
        <v>40</v>
      </c>
      <c r="D56" s="1" t="d">
        <v>2018-04-17T09:42:59.00000000372529075</v>
      </c>
      <c r="E56" s="1" t="d">
        <v>2018-04-17T10:23:52.99999970477074350</v>
      </c>
      <c r="F56" t="s">
        <v>193</v>
      </c>
      <c r="G56">
        <v>2</v>
      </c>
      <c r="H56">
        <v>2</v>
      </c>
      <c r="I56">
        <v>3</v>
      </c>
      <c r="J56">
        <v>4</v>
      </c>
      <c r="K56">
        <v>4</v>
      </c>
      <c r="L56">
        <v>4</v>
      </c>
      <c r="M56">
        <v>1</v>
      </c>
      <c r="N56">
        <v>5</v>
      </c>
      <c r="O56">
        <v>1</v>
      </c>
      <c r="P56">
        <v>2</v>
      </c>
      <c r="Q56">
        <v>5</v>
      </c>
      <c r="R56">
        <v>4</v>
      </c>
      <c r="S56">
        <v>2</v>
      </c>
      <c r="T56">
        <v>1</v>
      </c>
      <c r="U56" s="1" t="d">
        <v>2018-10-10T10:57:51.00000022910535075</v>
      </c>
      <c r="V56" s="1" t="d">
        <v>2018-10-10T11:26:29.000000129453837700</v>
      </c>
      <c r="W56" t="s">
        <v>194</v>
      </c>
      <c r="X56">
        <v>2</v>
      </c>
      <c r="Y56">
        <v>3</v>
      </c>
      <c r="Z56">
        <v>3</v>
      </c>
      <c r="AA56">
        <v>4</v>
      </c>
      <c r="AB56">
        <v>5</v>
      </c>
      <c r="AC56">
        <v>5</v>
      </c>
      <c r="AD56">
        <v>5</v>
      </c>
      <c r="AE56">
        <v>5</v>
      </c>
      <c r="AF56">
        <v>1</v>
      </c>
      <c r="AG56">
        <v>1</v>
      </c>
      <c r="AH56">
        <v>6</v>
      </c>
      <c r="AI56">
        <v>5</v>
      </c>
      <c r="AJ56">
        <v>2</v>
      </c>
      <c r="AK56">
        <v>2</v>
      </c>
      <c r="AM56" t="str">
        <f t="shared" si="0"/>
        <v>85</v>
      </c>
      <c r="AN56">
        <f t="shared" si="1"/>
        <v>50</v>
      </c>
      <c r="AO56">
        <f t="shared" si="2"/>
        <v>100</v>
      </c>
      <c r="AP56" s="15">
        <f t="shared" si="3"/>
        <v>25</v>
      </c>
      <c r="AQ56" s="15">
        <f t="shared" si="4"/>
        <v>25</v>
      </c>
      <c r="AR56" s="15">
        <f t="shared" si="5"/>
        <v>25</v>
      </c>
      <c r="AS56" s="15">
        <f t="shared" si="6"/>
        <v>100</v>
      </c>
      <c r="AT56">
        <f t="shared" si="7"/>
        <v>0</v>
      </c>
      <c r="AU56" s="15">
        <f t="shared" si="8"/>
        <v>100</v>
      </c>
      <c r="AV56" s="15">
        <f t="shared" si="9"/>
        <v>80</v>
      </c>
      <c r="AW56">
        <f t="shared" si="10"/>
        <v>80</v>
      </c>
      <c r="AX56">
        <f t="shared" si="11"/>
        <v>75</v>
      </c>
      <c r="BB56" s="14">
        <f t="shared" si="12"/>
        <v>31.647638825000001</v>
      </c>
      <c r="BC56" s="14">
        <f t="shared" si="13"/>
        <v>54.248632964499997</v>
      </c>
      <c r="BE56" s="14">
        <f t="shared" si="14"/>
        <v>37.3612098945</v>
      </c>
      <c r="BF56" s="14">
        <f t="shared" si="15"/>
        <v>48.926074604999997</v>
      </c>
      <c r="BH56" t="str">
        <f t="shared" si="16"/>
        <v>85</v>
      </c>
      <c r="BI56">
        <f t="shared" si="17"/>
        <v>100</v>
      </c>
      <c r="BJ56">
        <f t="shared" si="18"/>
        <v>100</v>
      </c>
      <c r="BK56" s="15">
        <f t="shared" si="19"/>
        <v>25</v>
      </c>
      <c r="BL56" s="15">
        <f t="shared" si="20"/>
        <v>0</v>
      </c>
      <c r="BM56" s="15">
        <f t="shared" si="21"/>
        <v>0</v>
      </c>
      <c r="BN56" s="15">
        <f t="shared" si="22"/>
        <v>0</v>
      </c>
      <c r="BO56">
        <f t="shared" si="23"/>
        <v>0</v>
      </c>
      <c r="BP56" s="15">
        <f t="shared" si="24"/>
        <v>100</v>
      </c>
      <c r="BQ56" s="15">
        <f t="shared" si="25"/>
        <v>100</v>
      </c>
      <c r="BR56">
        <f t="shared" si="26"/>
        <v>100</v>
      </c>
      <c r="BS56">
        <f t="shared" si="27"/>
        <v>100</v>
      </c>
    </row>
    <row r="57" spans="1:71" x14ac:dyDescent="0.25">
      <c r="A57">
        <v>56</v>
      </c>
      <c r="B57" t="s">
        <v>195</v>
      </c>
      <c r="C57" t="s">
        <v>40</v>
      </c>
      <c r="D57" s="1" t="d">
        <v>2018-04-16T20:14:10.00000025611370700</v>
      </c>
      <c r="E57" s="1" t="d">
        <v>2018-04-16T22:35:21.00000022910535075</v>
      </c>
      <c r="F57" t="s">
        <v>196</v>
      </c>
      <c r="G57">
        <v>2</v>
      </c>
      <c r="H57">
        <v>1</v>
      </c>
      <c r="I57">
        <v>2</v>
      </c>
      <c r="J57">
        <v>1</v>
      </c>
      <c r="K57">
        <v>1</v>
      </c>
      <c r="L57">
        <v>5</v>
      </c>
      <c r="M57">
        <v>4</v>
      </c>
      <c r="N57">
        <v>3</v>
      </c>
      <c r="O57">
        <v>2</v>
      </c>
      <c r="P57">
        <v>2</v>
      </c>
      <c r="Q57">
        <v>5</v>
      </c>
      <c r="R57">
        <v>4</v>
      </c>
      <c r="S57">
        <v>3</v>
      </c>
      <c r="T57">
        <v>2</v>
      </c>
      <c r="U57" s="1" t="d">
        <v>2018-10-08T18:36:14.00000025518238600</v>
      </c>
      <c r="V57" s="1" t="d">
        <v>2018-10-08T19:06:29.00000019930303150</v>
      </c>
      <c r="W57" t="s">
        <v>197</v>
      </c>
      <c r="X57">
        <v>3</v>
      </c>
      <c r="Y57">
        <v>2</v>
      </c>
      <c r="Z57">
        <v>2</v>
      </c>
      <c r="AA57">
        <v>3</v>
      </c>
      <c r="AB57">
        <v>2</v>
      </c>
      <c r="AC57">
        <v>3</v>
      </c>
      <c r="AD57">
        <v>3</v>
      </c>
      <c r="AE57">
        <v>4</v>
      </c>
      <c r="AF57">
        <v>3</v>
      </c>
      <c r="AG57">
        <v>3</v>
      </c>
      <c r="AH57">
        <v>5</v>
      </c>
      <c r="AI57">
        <v>4</v>
      </c>
      <c r="AJ57">
        <v>3</v>
      </c>
      <c r="AK57">
        <v>2</v>
      </c>
      <c r="AM57" t="str">
        <f t="shared" si="0"/>
        <v>85</v>
      </c>
      <c r="AN57">
        <f t="shared" si="1"/>
        <v>0</v>
      </c>
      <c r="AO57">
        <f t="shared" si="2"/>
        <v>50</v>
      </c>
      <c r="AP57" s="15">
        <f t="shared" si="3"/>
        <v>100</v>
      </c>
      <c r="AQ57" s="15">
        <f t="shared" si="4"/>
        <v>100</v>
      </c>
      <c r="AR57" s="15">
        <f t="shared" si="5"/>
        <v>0</v>
      </c>
      <c r="AS57" s="15">
        <f t="shared" si="6"/>
        <v>25</v>
      </c>
      <c r="AT57">
        <f t="shared" si="7"/>
        <v>50</v>
      </c>
      <c r="AU57" s="15">
        <f t="shared" si="8"/>
        <v>80</v>
      </c>
      <c r="AV57" s="15">
        <f t="shared" si="9"/>
        <v>80</v>
      </c>
      <c r="AW57">
        <f t="shared" si="10"/>
        <v>80</v>
      </c>
      <c r="AX57">
        <f t="shared" si="11"/>
        <v>75</v>
      </c>
      <c r="BB57" s="14">
        <f t="shared" si="12"/>
        <v>46.998639085000008</v>
      </c>
      <c r="BC57" s="14">
        <f t="shared" si="13"/>
        <v>41.226175135999995</v>
      </c>
      <c r="BE57" s="14">
        <f t="shared" si="14"/>
        <v>36.069633950499998</v>
      </c>
      <c r="BF57" s="14">
        <f t="shared" si="15"/>
        <v>46.737806910499991</v>
      </c>
      <c r="BH57" t="str">
        <f t="shared" si="16"/>
        <v>60</v>
      </c>
      <c r="BI57">
        <f t="shared" si="17"/>
        <v>50</v>
      </c>
      <c r="BJ57">
        <f t="shared" si="18"/>
        <v>50</v>
      </c>
      <c r="BK57" s="15">
        <f t="shared" si="19"/>
        <v>50</v>
      </c>
      <c r="BL57" s="15">
        <f t="shared" si="20"/>
        <v>75</v>
      </c>
      <c r="BM57" s="15">
        <f t="shared" si="21"/>
        <v>50</v>
      </c>
      <c r="BN57" s="15">
        <f t="shared" si="22"/>
        <v>50</v>
      </c>
      <c r="BO57">
        <f t="shared" si="23"/>
        <v>25</v>
      </c>
      <c r="BP57" s="15">
        <f t="shared" si="24"/>
        <v>60</v>
      </c>
      <c r="BQ57" s="15">
        <f t="shared" si="25"/>
        <v>60</v>
      </c>
      <c r="BR57">
        <f t="shared" si="26"/>
        <v>80</v>
      </c>
      <c r="BS57">
        <f t="shared" si="27"/>
        <v>75</v>
      </c>
    </row>
    <row r="58" spans="1:71" x14ac:dyDescent="0.25">
      <c r="A58">
        <v>57</v>
      </c>
      <c r="B58" t="s">
        <v>198</v>
      </c>
      <c r="C58" t="s">
        <v>40</v>
      </c>
      <c r="D58" s="1" t="d">
        <v>2018-04-26T08:06:06.0000002710148700</v>
      </c>
      <c r="E58" s="1" t="d">
        <v>2018-04-26T09:39:41.99999984353780875</v>
      </c>
      <c r="F58" t="s">
        <v>199</v>
      </c>
      <c r="G58">
        <v>1</v>
      </c>
      <c r="H58">
        <v>2</v>
      </c>
      <c r="I58">
        <v>3</v>
      </c>
      <c r="J58">
        <v>3</v>
      </c>
      <c r="K58">
        <v>3</v>
      </c>
      <c r="L58">
        <v>5</v>
      </c>
      <c r="M58">
        <v>5</v>
      </c>
      <c r="N58">
        <v>2</v>
      </c>
      <c r="O58">
        <v>2</v>
      </c>
      <c r="P58">
        <v>1</v>
      </c>
      <c r="Q58">
        <v>5</v>
      </c>
      <c r="R58">
        <v>5</v>
      </c>
      <c r="S58">
        <v>4</v>
      </c>
      <c r="T58">
        <v>2</v>
      </c>
      <c r="U58" s="1" t="d">
        <v>2018-10-02T10:31:40.00000011641532075</v>
      </c>
      <c r="V58" s="1" t="d">
        <v>2018-10-02T11:40:47.00000016018748200</v>
      </c>
      <c r="W58" t="s">
        <v>200</v>
      </c>
      <c r="X58">
        <v>1</v>
      </c>
      <c r="Y58">
        <v>2</v>
      </c>
      <c r="Z58">
        <v>2</v>
      </c>
      <c r="AA58">
        <v>5</v>
      </c>
      <c r="AB58">
        <v>5</v>
      </c>
      <c r="AC58">
        <v>5</v>
      </c>
      <c r="AD58">
        <v>4</v>
      </c>
      <c r="AE58">
        <v>2</v>
      </c>
      <c r="AF58">
        <v>2</v>
      </c>
      <c r="AG58">
        <v>2</v>
      </c>
      <c r="AH58">
        <v>5</v>
      </c>
      <c r="AI58">
        <v>5</v>
      </c>
      <c r="AJ58">
        <v>3</v>
      </c>
      <c r="AK58">
        <v>2</v>
      </c>
      <c r="AM58" t="str">
        <f t="shared" si="0"/>
        <v>100</v>
      </c>
      <c r="AN58">
        <f t="shared" si="1"/>
        <v>50</v>
      </c>
      <c r="AO58">
        <f t="shared" si="2"/>
        <v>100</v>
      </c>
      <c r="AP58" s="15">
        <f t="shared" si="3"/>
        <v>50</v>
      </c>
      <c r="AQ58" s="15">
        <f t="shared" si="4"/>
        <v>50</v>
      </c>
      <c r="AR58" s="15">
        <f t="shared" si="5"/>
        <v>0</v>
      </c>
      <c r="AS58" s="15">
        <f t="shared" si="6"/>
        <v>0</v>
      </c>
      <c r="AT58">
        <f t="shared" si="7"/>
        <v>75</v>
      </c>
      <c r="AU58" s="15">
        <f t="shared" si="8"/>
        <v>80</v>
      </c>
      <c r="AV58" s="15">
        <f t="shared" si="9"/>
        <v>100</v>
      </c>
      <c r="AW58">
        <f t="shared" si="10"/>
        <v>80</v>
      </c>
      <c r="AX58">
        <f t="shared" si="11"/>
        <v>100</v>
      </c>
      <c r="BB58" s="14">
        <f t="shared" si="12"/>
        <v>52.745551076000012</v>
      </c>
      <c r="BC58" s="14">
        <f t="shared" si="13"/>
        <v>41.821718582999999</v>
      </c>
      <c r="BE58" s="14">
        <f t="shared" si="14"/>
        <v>40.305043073999997</v>
      </c>
      <c r="BF58" s="14">
        <f t="shared" si="15"/>
        <v>46.5251282535</v>
      </c>
      <c r="BH58" t="str">
        <f t="shared" si="16"/>
        <v>100</v>
      </c>
      <c r="BI58">
        <f t="shared" si="17"/>
        <v>50</v>
      </c>
      <c r="BJ58">
        <f t="shared" si="18"/>
        <v>50</v>
      </c>
      <c r="BK58" s="15">
        <f t="shared" si="19"/>
        <v>0</v>
      </c>
      <c r="BL58" s="15">
        <f t="shared" si="20"/>
        <v>0</v>
      </c>
      <c r="BM58" s="15">
        <f t="shared" si="21"/>
        <v>0</v>
      </c>
      <c r="BN58" s="15">
        <f t="shared" si="22"/>
        <v>25</v>
      </c>
      <c r="BO58">
        <f t="shared" si="23"/>
        <v>75</v>
      </c>
      <c r="BP58" s="15">
        <f t="shared" si="24"/>
        <v>80</v>
      </c>
      <c r="BQ58" s="15">
        <f t="shared" si="25"/>
        <v>80</v>
      </c>
      <c r="BR58">
        <f t="shared" si="26"/>
        <v>80</v>
      </c>
      <c r="BS58">
        <f t="shared" si="27"/>
        <v>100</v>
      </c>
    </row>
    <row r="59" spans="1:71" x14ac:dyDescent="0.25">
      <c r="A59">
        <v>58</v>
      </c>
      <c r="B59" t="s">
        <v>201</v>
      </c>
      <c r="C59" t="s">
        <v>40</v>
      </c>
      <c r="D59" s="1" t="d">
        <v>2018-04-18T17:47:39.99999989289790275</v>
      </c>
      <c r="E59" s="1" t="d">
        <v>2018-04-18T18:52:27.00000013690441650</v>
      </c>
      <c r="F59" t="s">
        <v>202</v>
      </c>
      <c r="G59">
        <v>1</v>
      </c>
      <c r="H59">
        <v>2</v>
      </c>
      <c r="I59">
        <v>2</v>
      </c>
      <c r="J59">
        <v>4</v>
      </c>
      <c r="K59">
        <v>2</v>
      </c>
      <c r="L59">
        <v>4</v>
      </c>
      <c r="M59">
        <v>3</v>
      </c>
      <c r="N59">
        <v>4</v>
      </c>
      <c r="O59">
        <v>2</v>
      </c>
      <c r="P59">
        <v>2</v>
      </c>
      <c r="Q59">
        <v>5</v>
      </c>
      <c r="R59">
        <v>4</v>
      </c>
      <c r="S59">
        <v>2</v>
      </c>
      <c r="T59">
        <v>4</v>
      </c>
      <c r="U59" s="1" t="d">
        <v>2018-10-03T06:05:02.99999979324638700</v>
      </c>
      <c r="V59" s="1" t="d">
        <v>2018-10-03T06:55:46.00000013597309550</v>
      </c>
      <c r="W59" t="s">
        <v>203</v>
      </c>
      <c r="X59">
        <v>3</v>
      </c>
      <c r="Y59">
        <v>3</v>
      </c>
      <c r="Z59">
        <v>1</v>
      </c>
      <c r="AA59">
        <v>1</v>
      </c>
      <c r="AB59">
        <v>1</v>
      </c>
      <c r="AC59">
        <v>2</v>
      </c>
      <c r="AD59">
        <v>1</v>
      </c>
      <c r="AE59">
        <v>2</v>
      </c>
      <c r="AF59">
        <v>5</v>
      </c>
      <c r="AG59">
        <v>4</v>
      </c>
      <c r="AH59">
        <v>2</v>
      </c>
      <c r="AI59">
        <v>1</v>
      </c>
      <c r="AJ59">
        <v>5</v>
      </c>
      <c r="AK59">
        <v>5</v>
      </c>
      <c r="AM59" t="str">
        <f t="shared" si="0"/>
        <v>100</v>
      </c>
      <c r="AN59">
        <f t="shared" si="1"/>
        <v>50</v>
      </c>
      <c r="AO59">
        <f t="shared" si="2"/>
        <v>50</v>
      </c>
      <c r="AP59" s="15">
        <f t="shared" si="3"/>
        <v>25</v>
      </c>
      <c r="AQ59" s="15">
        <f t="shared" si="4"/>
        <v>75</v>
      </c>
      <c r="AR59" s="15">
        <f t="shared" si="5"/>
        <v>25</v>
      </c>
      <c r="AS59" s="15">
        <f t="shared" si="6"/>
        <v>50</v>
      </c>
      <c r="AT59">
        <f t="shared" si="7"/>
        <v>25</v>
      </c>
      <c r="AU59" s="15">
        <f t="shared" si="8"/>
        <v>80</v>
      </c>
      <c r="AV59" s="15">
        <f t="shared" si="9"/>
        <v>80</v>
      </c>
      <c r="AW59">
        <f t="shared" si="10"/>
        <v>80</v>
      </c>
      <c r="AX59">
        <f t="shared" si="11"/>
        <v>75</v>
      </c>
      <c r="BB59" s="14">
        <f t="shared" si="12"/>
        <v>38.598381711499997</v>
      </c>
      <c r="BC59" s="14">
        <f t="shared" si="13"/>
        <v>47.740067613499996</v>
      </c>
      <c r="BE59" s="14">
        <f t="shared" si="14"/>
        <v>48.618228161000005</v>
      </c>
      <c r="BF59" s="14">
        <f t="shared" si="15"/>
        <v>27.788328395999997</v>
      </c>
      <c r="BH59" t="str">
        <f t="shared" si="16"/>
        <v>60</v>
      </c>
      <c r="BI59">
        <f t="shared" si="17"/>
        <v>100</v>
      </c>
      <c r="BJ59">
        <f t="shared" si="18"/>
        <v>0</v>
      </c>
      <c r="BK59" s="15">
        <f t="shared" si="19"/>
        <v>100</v>
      </c>
      <c r="BL59" s="15">
        <f t="shared" si="20"/>
        <v>100</v>
      </c>
      <c r="BM59" s="15">
        <f t="shared" si="21"/>
        <v>75</v>
      </c>
      <c r="BN59" s="15">
        <f t="shared" si="22"/>
        <v>100</v>
      </c>
      <c r="BO59">
        <f t="shared" si="23"/>
        <v>75</v>
      </c>
      <c r="BP59" s="15">
        <f t="shared" si="24"/>
        <v>20</v>
      </c>
      <c r="BQ59" s="15">
        <f t="shared" si="25"/>
        <v>40</v>
      </c>
      <c r="BR59">
        <f t="shared" si="26"/>
        <v>20</v>
      </c>
      <c r="BS59">
        <f t="shared" si="27"/>
        <v>0</v>
      </c>
    </row>
    <row r="60" spans="1:71" x14ac:dyDescent="0.25">
      <c r="A60">
        <v>59</v>
      </c>
      <c r="B60" t="s">
        <v>204</v>
      </c>
      <c r="C60" t="s">
        <v>40</v>
      </c>
      <c r="D60" s="1" t="d">
        <v>2018-05-16T20:32:08.99999977089464925</v>
      </c>
      <c r="E60" s="1" t="d">
        <v>2018-05-16T21:49:27.00000017881393575</v>
      </c>
      <c r="F60" t="s">
        <v>205</v>
      </c>
      <c r="G60">
        <v>3</v>
      </c>
      <c r="H60">
        <v>2</v>
      </c>
      <c r="I60">
        <v>2</v>
      </c>
      <c r="J60">
        <v>3</v>
      </c>
      <c r="K60">
        <v>1</v>
      </c>
      <c r="L60">
        <v>2</v>
      </c>
      <c r="M60">
        <v>1</v>
      </c>
      <c r="N60">
        <v>4</v>
      </c>
      <c r="O60">
        <v>1</v>
      </c>
      <c r="P60">
        <v>1</v>
      </c>
      <c r="Q60">
        <v>5</v>
      </c>
      <c r="R60">
        <v>4</v>
      </c>
      <c r="S60">
        <v>3</v>
      </c>
      <c r="T60">
        <v>1</v>
      </c>
      <c r="U60" s="1" t="d">
        <v>2018-10-30T14:17:04.00000006891786875</v>
      </c>
      <c r="V60" s="1" t="d">
        <v>2018-10-30T15:57:07.9999998165294525</v>
      </c>
      <c r="W60" t="s">
        <v>206</v>
      </c>
      <c r="X60">
        <v>3</v>
      </c>
      <c r="Y60">
        <v>2</v>
      </c>
      <c r="Z60">
        <v>2</v>
      </c>
      <c r="AA60">
        <v>1</v>
      </c>
      <c r="AB60">
        <v>4</v>
      </c>
      <c r="AC60">
        <v>4</v>
      </c>
      <c r="AD60">
        <v>4</v>
      </c>
      <c r="AE60">
        <v>4</v>
      </c>
      <c r="AF60">
        <v>3</v>
      </c>
      <c r="AG60">
        <v>2</v>
      </c>
      <c r="AH60">
        <v>3</v>
      </c>
      <c r="AI60">
        <v>4</v>
      </c>
      <c r="AJ60">
        <v>3</v>
      </c>
      <c r="AK60">
        <v>4</v>
      </c>
      <c r="AM60" t="str">
        <f t="shared" si="0"/>
        <v>60</v>
      </c>
      <c r="AN60">
        <f t="shared" si="1"/>
        <v>50</v>
      </c>
      <c r="AO60">
        <f t="shared" si="2"/>
        <v>50</v>
      </c>
      <c r="AP60" s="15">
        <f t="shared" si="3"/>
        <v>50</v>
      </c>
      <c r="AQ60" s="15">
        <f t="shared" si="4"/>
        <v>100</v>
      </c>
      <c r="AR60" s="15">
        <f t="shared" si="5"/>
        <v>75</v>
      </c>
      <c r="AS60" s="15">
        <f t="shared" si="6"/>
        <v>100</v>
      </c>
      <c r="AT60">
        <f t="shared" si="7"/>
        <v>25</v>
      </c>
      <c r="AU60" s="15">
        <f t="shared" si="8"/>
        <v>100</v>
      </c>
      <c r="AV60" s="15">
        <f t="shared" si="9"/>
        <v>100</v>
      </c>
      <c r="AW60">
        <f t="shared" si="10"/>
        <v>80</v>
      </c>
      <c r="AX60">
        <f t="shared" si="11"/>
        <v>75</v>
      </c>
      <c r="BB60" s="14">
        <f t="shared" si="12"/>
        <v>34.372367714500001</v>
      </c>
      <c r="BC60" s="14">
        <f t="shared" si="13"/>
        <v>60.485696676499991</v>
      </c>
      <c r="BE60" s="14">
        <f t="shared" si="14"/>
        <v>40.9273738825</v>
      </c>
      <c r="BF60" s="14">
        <f t="shared" si="15"/>
        <v>36.936168802999994</v>
      </c>
      <c r="BH60" t="str">
        <f t="shared" si="16"/>
        <v>60</v>
      </c>
      <c r="BI60">
        <f t="shared" si="17"/>
        <v>50</v>
      </c>
      <c r="BJ60">
        <f t="shared" si="18"/>
        <v>50</v>
      </c>
      <c r="BK60" s="15">
        <f t="shared" si="19"/>
        <v>100</v>
      </c>
      <c r="BL60" s="15">
        <f t="shared" si="20"/>
        <v>25</v>
      </c>
      <c r="BM60" s="15">
        <f t="shared" si="21"/>
        <v>25</v>
      </c>
      <c r="BN60" s="15">
        <f t="shared" si="22"/>
        <v>25</v>
      </c>
      <c r="BO60">
        <f t="shared" si="23"/>
        <v>25</v>
      </c>
      <c r="BP60" s="15">
        <f t="shared" si="24"/>
        <v>60</v>
      </c>
      <c r="BQ60" s="15">
        <f t="shared" si="25"/>
        <v>80</v>
      </c>
      <c r="BR60">
        <f t="shared" si="26"/>
        <v>40</v>
      </c>
      <c r="BS60">
        <f t="shared" si="27"/>
        <v>75</v>
      </c>
    </row>
    <row r="61" spans="1:71" x14ac:dyDescent="0.25">
      <c r="A61">
        <v>60</v>
      </c>
      <c r="B61" t="s">
        <v>207</v>
      </c>
      <c r="C61" t="s">
        <v>40</v>
      </c>
      <c r="D61" s="1" t="d">
        <v>2018-05-13T14:07:07.00000007171183850</v>
      </c>
      <c r="E61" s="1" t="d">
        <v>2018-05-13T14:57:17.00000024400651375</v>
      </c>
      <c r="F61" t="s">
        <v>208</v>
      </c>
      <c r="G61">
        <v>2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4</v>
      </c>
      <c r="O61">
        <v>4</v>
      </c>
      <c r="P61">
        <v>3</v>
      </c>
      <c r="Q61">
        <v>2</v>
      </c>
      <c r="R61">
        <v>3</v>
      </c>
      <c r="S61">
        <v>5</v>
      </c>
      <c r="T61">
        <v>5</v>
      </c>
      <c r="U61" s="1" t="d">
        <v>2018-11-04T18:43:18.00000004470348225</v>
      </c>
      <c r="V61" s="1" t="d">
        <v>2018-11-04T20:01:31.99999971315264600</v>
      </c>
      <c r="W61" t="s">
        <v>209</v>
      </c>
      <c r="X61">
        <v>4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3</v>
      </c>
      <c r="AF61">
        <v>3</v>
      </c>
      <c r="AG61">
        <v>6</v>
      </c>
      <c r="AH61">
        <v>5</v>
      </c>
      <c r="AI61">
        <v>3</v>
      </c>
      <c r="AJ61">
        <v>5</v>
      </c>
      <c r="AK61">
        <v>5</v>
      </c>
      <c r="AM61" t="str">
        <f t="shared" si="0"/>
        <v>85</v>
      </c>
      <c r="AN61">
        <f t="shared" si="1"/>
        <v>0</v>
      </c>
      <c r="AO61">
        <f t="shared" si="2"/>
        <v>0</v>
      </c>
      <c r="AP61" s="15">
        <f t="shared" si="3"/>
        <v>100</v>
      </c>
      <c r="AQ61" s="15">
        <f t="shared" si="4"/>
        <v>100</v>
      </c>
      <c r="AR61" s="15">
        <f t="shared" si="5"/>
        <v>100</v>
      </c>
      <c r="AS61" s="15">
        <f t="shared" si="6"/>
        <v>100</v>
      </c>
      <c r="AT61">
        <f t="shared" si="7"/>
        <v>25</v>
      </c>
      <c r="AU61" s="15">
        <f t="shared" si="8"/>
        <v>40</v>
      </c>
      <c r="AV61" s="15">
        <f t="shared" si="9"/>
        <v>60</v>
      </c>
      <c r="AW61">
        <f t="shared" si="10"/>
        <v>20</v>
      </c>
      <c r="AX61">
        <f t="shared" si="11"/>
        <v>50</v>
      </c>
      <c r="BB61" s="14">
        <f t="shared" si="12"/>
        <v>35.911060030499996</v>
      </c>
      <c r="BC61" s="14">
        <f t="shared" si="13"/>
        <v>44.706400569000003</v>
      </c>
      <c r="BE61" s="14">
        <f t="shared" si="14"/>
        <v>29.4996950745</v>
      </c>
      <c r="BF61" s="14">
        <f t="shared" si="15"/>
        <v>51.128188291999997</v>
      </c>
      <c r="BH61" t="str">
        <f t="shared" si="16"/>
        <v>35</v>
      </c>
      <c r="BI61">
        <f t="shared" si="17"/>
        <v>0</v>
      </c>
      <c r="BJ61">
        <f t="shared" si="18"/>
        <v>0</v>
      </c>
      <c r="BK61" s="15">
        <f t="shared" si="19"/>
        <v>100</v>
      </c>
      <c r="BL61" s="15">
        <f t="shared" si="20"/>
        <v>100</v>
      </c>
      <c r="BM61" s="15">
        <f t="shared" si="21"/>
        <v>100</v>
      </c>
      <c r="BN61" s="15">
        <f t="shared" si="22"/>
        <v>100</v>
      </c>
      <c r="BO61">
        <f t="shared" si="23"/>
        <v>50</v>
      </c>
      <c r="BP61" s="15">
        <f t="shared" si="24"/>
        <v>60</v>
      </c>
      <c r="BQ61" s="15">
        <f t="shared" si="25"/>
        <v>0</v>
      </c>
      <c r="BR61">
        <f t="shared" si="26"/>
        <v>80</v>
      </c>
      <c r="BS61">
        <f t="shared" si="27"/>
        <v>50</v>
      </c>
    </row>
    <row r="62" spans="1:71" x14ac:dyDescent="0.25">
      <c r="A62">
        <v>61</v>
      </c>
      <c r="B62" t="s">
        <v>210</v>
      </c>
      <c r="C62" t="s">
        <v>40</v>
      </c>
      <c r="D62" s="1" t="d">
        <v>2018-05-02T11:30:37.00000026728957925</v>
      </c>
      <c r="E62" s="1" t="d">
        <v>2018-05-02T12:23:52.99999991431832625</v>
      </c>
      <c r="F62" t="s">
        <v>211</v>
      </c>
      <c r="G62">
        <v>4</v>
      </c>
      <c r="H62">
        <v>1</v>
      </c>
      <c r="I62">
        <v>1</v>
      </c>
      <c r="J62">
        <v>2</v>
      </c>
      <c r="K62">
        <v>1</v>
      </c>
      <c r="L62">
        <v>3</v>
      </c>
      <c r="M62">
        <v>4</v>
      </c>
      <c r="N62">
        <v>1</v>
      </c>
      <c r="O62">
        <v>2</v>
      </c>
      <c r="P62">
        <v>3</v>
      </c>
      <c r="Q62">
        <v>3</v>
      </c>
      <c r="R62">
        <v>4</v>
      </c>
      <c r="S62">
        <v>5</v>
      </c>
      <c r="T62">
        <v>3</v>
      </c>
      <c r="AM62" t="str">
        <f t="shared" si="0"/>
        <v>35</v>
      </c>
      <c r="AN62">
        <f t="shared" si="1"/>
        <v>0</v>
      </c>
      <c r="AO62">
        <f t="shared" si="2"/>
        <v>0</v>
      </c>
      <c r="AP62" s="15">
        <f t="shared" si="3"/>
        <v>75</v>
      </c>
      <c r="AQ62" s="15">
        <f t="shared" si="4"/>
        <v>100</v>
      </c>
      <c r="AR62" s="15">
        <f t="shared" si="5"/>
        <v>50</v>
      </c>
      <c r="AS62" s="15">
        <f t="shared" si="6"/>
        <v>25</v>
      </c>
      <c r="AT62">
        <f t="shared" si="7"/>
        <v>100</v>
      </c>
      <c r="AU62" s="15">
        <f t="shared" si="8"/>
        <v>80</v>
      </c>
      <c r="AV62" s="15">
        <f t="shared" si="9"/>
        <v>60</v>
      </c>
      <c r="AW62">
        <f t="shared" si="10"/>
        <v>40</v>
      </c>
      <c r="AX62">
        <f t="shared" si="11"/>
        <v>75</v>
      </c>
      <c r="BB62" s="14">
        <f t="shared" si="12"/>
        <v>42.905716862999995</v>
      </c>
      <c r="BC62" s="14">
        <f t="shared" si="13"/>
        <v>41.232203661999996</v>
      </c>
      <c r="BK62" s="15"/>
      <c r="BL62" s="15"/>
      <c r="BM62" s="15"/>
      <c r="BN62" s="15"/>
      <c r="BP62" s="15"/>
      <c r="BQ62" s="15"/>
    </row>
    <row r="63" spans="1:71" x14ac:dyDescent="0.25">
      <c r="A63">
        <v>62</v>
      </c>
      <c r="B63" t="s">
        <v>212</v>
      </c>
      <c r="C63" t="s">
        <v>40</v>
      </c>
      <c r="D63" s="1" t="d">
        <v>2018-06-07T14:38:40.00000001862645375</v>
      </c>
      <c r="E63" s="1" t="d">
        <v>2018-06-07T19:10:10.00000031199306150</v>
      </c>
      <c r="F63" t="s">
        <v>213</v>
      </c>
      <c r="G63">
        <v>2</v>
      </c>
      <c r="H63">
        <v>3</v>
      </c>
      <c r="I63">
        <v>3</v>
      </c>
      <c r="J63">
        <v>4</v>
      </c>
      <c r="K63">
        <v>4</v>
      </c>
      <c r="L63">
        <v>4</v>
      </c>
      <c r="M63">
        <v>4</v>
      </c>
      <c r="N63">
        <v>4</v>
      </c>
      <c r="O63">
        <v>2</v>
      </c>
      <c r="P63">
        <v>1</v>
      </c>
      <c r="Q63">
        <v>6</v>
      </c>
      <c r="R63">
        <v>4</v>
      </c>
      <c r="S63">
        <v>4</v>
      </c>
      <c r="T63">
        <v>1</v>
      </c>
      <c r="U63" s="1" t="d">
        <v>2018-11-10T18:18:45.00000020954757600</v>
      </c>
      <c r="V63" s="1" t="d">
        <v>2018-11-10T19:19:31.000000066123903050</v>
      </c>
      <c r="W63" t="s">
        <v>214</v>
      </c>
      <c r="X63">
        <v>2</v>
      </c>
      <c r="Y63">
        <v>2</v>
      </c>
      <c r="Z63">
        <v>2</v>
      </c>
      <c r="AA63">
        <v>3</v>
      </c>
      <c r="AB63">
        <v>3</v>
      </c>
      <c r="AC63">
        <v>3</v>
      </c>
      <c r="AD63">
        <v>3</v>
      </c>
      <c r="AE63">
        <v>5</v>
      </c>
      <c r="AF63">
        <v>3</v>
      </c>
      <c r="AG63">
        <v>3</v>
      </c>
      <c r="AH63">
        <v>3</v>
      </c>
      <c r="AI63">
        <v>3</v>
      </c>
      <c r="AJ63">
        <v>3</v>
      </c>
      <c r="AK63">
        <v>3</v>
      </c>
      <c r="AM63" t="str">
        <f t="shared" si="0"/>
        <v>85</v>
      </c>
      <c r="AN63">
        <f t="shared" si="1"/>
        <v>100</v>
      </c>
      <c r="AO63">
        <f t="shared" si="2"/>
        <v>100</v>
      </c>
      <c r="AP63" s="15">
        <f t="shared" si="3"/>
        <v>25</v>
      </c>
      <c r="AQ63" s="15">
        <f t="shared" si="4"/>
        <v>25</v>
      </c>
      <c r="AR63" s="15">
        <f t="shared" si="5"/>
        <v>25</v>
      </c>
      <c r="AS63" s="15">
        <f t="shared" si="6"/>
        <v>25</v>
      </c>
      <c r="AT63">
        <f t="shared" si="7"/>
        <v>25</v>
      </c>
      <c r="AU63" s="15">
        <f t="shared" si="8"/>
        <v>80</v>
      </c>
      <c r="AV63" s="15">
        <f t="shared" si="9"/>
        <v>100</v>
      </c>
      <c r="AW63">
        <f t="shared" si="10"/>
        <v>100</v>
      </c>
      <c r="AX63">
        <f t="shared" si="11"/>
        <v>75</v>
      </c>
      <c r="BB63" s="14">
        <f t="shared" si="12"/>
        <v>41.050751336999994</v>
      </c>
      <c r="BC63" s="14">
        <f t="shared" si="13"/>
        <v>47.986940083999997</v>
      </c>
      <c r="BE63" s="14">
        <f t="shared" si="14"/>
        <v>34.841971130499999</v>
      </c>
      <c r="BF63" s="14">
        <f t="shared" si="15"/>
        <v>39.251007010999999</v>
      </c>
      <c r="BH63" t="str">
        <f t="shared" si="16"/>
        <v>85</v>
      </c>
      <c r="BI63">
        <f t="shared" si="17"/>
        <v>50</v>
      </c>
      <c r="BJ63">
        <f t="shared" si="18"/>
        <v>50</v>
      </c>
      <c r="BK63" s="15">
        <f t="shared" si="19"/>
        <v>50</v>
      </c>
      <c r="BL63" s="15">
        <f t="shared" si="20"/>
        <v>50</v>
      </c>
      <c r="BM63" s="15">
        <f t="shared" si="21"/>
        <v>50</v>
      </c>
      <c r="BN63" s="15">
        <f t="shared" si="22"/>
        <v>50</v>
      </c>
      <c r="BO63">
        <f t="shared" si="23"/>
        <v>0</v>
      </c>
      <c r="BP63" s="15">
        <f t="shared" si="24"/>
        <v>60</v>
      </c>
      <c r="BQ63" s="15">
        <f t="shared" si="25"/>
        <v>60</v>
      </c>
      <c r="BR63">
        <f t="shared" si="26"/>
        <v>40</v>
      </c>
      <c r="BS63">
        <f t="shared" si="27"/>
        <v>50</v>
      </c>
    </row>
    <row r="64" spans="1:71" x14ac:dyDescent="0.25">
      <c r="A64">
        <v>63</v>
      </c>
      <c r="B64" t="s">
        <v>215</v>
      </c>
      <c r="C64" t="s">
        <v>40</v>
      </c>
      <c r="D64" s="1" t="d">
        <v>2018-06-18T18:11:02.0000001043081275</v>
      </c>
      <c r="E64" s="1" t="d">
        <v>2018-06-18T19:06:15.00000006984918975</v>
      </c>
      <c r="F64" t="s">
        <v>216</v>
      </c>
      <c r="G64">
        <v>3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3</v>
      </c>
      <c r="O64">
        <v>3</v>
      </c>
      <c r="P64">
        <v>2</v>
      </c>
      <c r="Q64">
        <v>3</v>
      </c>
      <c r="R64">
        <v>4</v>
      </c>
      <c r="S64">
        <v>3</v>
      </c>
      <c r="T64">
        <v>3</v>
      </c>
      <c r="AM64" t="str">
        <f t="shared" si="0"/>
        <v>60</v>
      </c>
      <c r="AN64">
        <f t="shared" si="1"/>
        <v>0</v>
      </c>
      <c r="AO64">
        <f t="shared" si="2"/>
        <v>0</v>
      </c>
      <c r="AP64" s="15">
        <f t="shared" si="3"/>
        <v>100</v>
      </c>
      <c r="AQ64" s="15">
        <f t="shared" si="4"/>
        <v>100</v>
      </c>
      <c r="AR64" s="15">
        <f t="shared" si="5"/>
        <v>75</v>
      </c>
      <c r="AS64" s="15">
        <f t="shared" si="6"/>
        <v>75</v>
      </c>
      <c r="AT64">
        <f t="shared" si="7"/>
        <v>50</v>
      </c>
      <c r="AU64" s="15">
        <f t="shared" si="8"/>
        <v>60</v>
      </c>
      <c r="AV64" s="15">
        <f t="shared" si="9"/>
        <v>80</v>
      </c>
      <c r="AW64">
        <f t="shared" si="10"/>
        <v>40</v>
      </c>
      <c r="AX64">
        <f t="shared" si="11"/>
        <v>75</v>
      </c>
      <c r="BB64" s="14">
        <f t="shared" si="12"/>
        <v>38.349939427500004</v>
      </c>
      <c r="BC64" s="14">
        <f t="shared" si="13"/>
        <v>48.209679532999992</v>
      </c>
      <c r="BK64" s="15"/>
      <c r="BL64" s="15"/>
      <c r="BM64" s="15"/>
      <c r="BN64" s="15"/>
      <c r="BP64" s="15"/>
      <c r="BQ64" s="15"/>
    </row>
    <row r="65" spans="1:71" x14ac:dyDescent="0.25">
      <c r="A65">
        <v>64</v>
      </c>
      <c r="B65" t="s">
        <v>217</v>
      </c>
      <c r="C65" t="s">
        <v>40</v>
      </c>
      <c r="D65" s="1" t="d">
        <v>2018-06-20T19:04:33.99999971967190650</v>
      </c>
      <c r="E65" s="1" t="d">
        <v>2018-07-07T14:33:23.99999970104545275</v>
      </c>
      <c r="F65" t="s">
        <v>218</v>
      </c>
      <c r="G65">
        <v>1</v>
      </c>
      <c r="H65">
        <v>2</v>
      </c>
      <c r="I65">
        <v>2</v>
      </c>
      <c r="J65">
        <v>3</v>
      </c>
      <c r="K65">
        <v>3</v>
      </c>
      <c r="L65">
        <v>3</v>
      </c>
      <c r="M65">
        <v>3</v>
      </c>
      <c r="N65">
        <v>3</v>
      </c>
      <c r="O65">
        <v>1</v>
      </c>
      <c r="P65">
        <v>2</v>
      </c>
      <c r="Q65">
        <v>4</v>
      </c>
      <c r="R65">
        <v>3</v>
      </c>
      <c r="S65">
        <v>1</v>
      </c>
      <c r="T65">
        <v>1</v>
      </c>
      <c r="U65" s="1" t="d">
        <v>2018-12-17T19:05:35.9999997541308375</v>
      </c>
      <c r="V65" s="1" t="d">
        <v>2018-12-17T19:49:44.00000017136335425</v>
      </c>
      <c r="W65" t="s">
        <v>219</v>
      </c>
      <c r="X65">
        <v>1</v>
      </c>
      <c r="Y65">
        <v>2</v>
      </c>
      <c r="Z65">
        <v>3</v>
      </c>
      <c r="AA65">
        <v>4</v>
      </c>
      <c r="AB65">
        <v>4</v>
      </c>
      <c r="AC65">
        <v>3</v>
      </c>
      <c r="AD65">
        <v>3</v>
      </c>
      <c r="AE65">
        <v>5</v>
      </c>
      <c r="AF65">
        <v>2</v>
      </c>
      <c r="AG65">
        <v>1</v>
      </c>
      <c r="AH65">
        <v>5</v>
      </c>
      <c r="AI65">
        <v>3</v>
      </c>
      <c r="AJ65">
        <v>4</v>
      </c>
      <c r="AK65">
        <v>3</v>
      </c>
      <c r="AM65" t="str">
        <f t="shared" si="0"/>
        <v>100</v>
      </c>
      <c r="AN65">
        <f t="shared" si="1"/>
        <v>50</v>
      </c>
      <c r="AO65">
        <f t="shared" si="2"/>
        <v>50</v>
      </c>
      <c r="AP65" s="15">
        <f t="shared" si="3"/>
        <v>50</v>
      </c>
      <c r="AQ65" s="15">
        <f t="shared" si="4"/>
        <v>50</v>
      </c>
      <c r="AR65" s="15">
        <f t="shared" si="5"/>
        <v>50</v>
      </c>
      <c r="AS65" s="15">
        <f t="shared" si="6"/>
        <v>50</v>
      </c>
      <c r="AT65">
        <f t="shared" si="7"/>
        <v>50</v>
      </c>
      <c r="AU65" s="15">
        <f t="shared" si="8"/>
        <v>100</v>
      </c>
      <c r="AV65" s="15">
        <f t="shared" si="9"/>
        <v>80</v>
      </c>
      <c r="AW65">
        <f t="shared" si="10"/>
        <v>60</v>
      </c>
      <c r="AX65">
        <f t="shared" si="11"/>
        <v>50</v>
      </c>
      <c r="BB65" s="14">
        <f t="shared" si="12"/>
        <v>40.550158948999993</v>
      </c>
      <c r="BC65" s="14">
        <f t="shared" si="13"/>
        <v>46.771160066</v>
      </c>
      <c r="BE65" s="14">
        <f t="shared" si="14"/>
        <v>34.327289500999996</v>
      </c>
      <c r="BF65" s="14">
        <f t="shared" si="15"/>
        <v>49.844465427999999</v>
      </c>
      <c r="BH65" t="str">
        <f t="shared" si="16"/>
        <v>100</v>
      </c>
      <c r="BI65">
        <f t="shared" si="17"/>
        <v>50</v>
      </c>
      <c r="BJ65">
        <f t="shared" si="18"/>
        <v>100</v>
      </c>
      <c r="BK65" s="15">
        <f t="shared" si="19"/>
        <v>25</v>
      </c>
      <c r="BL65" s="15">
        <f t="shared" si="20"/>
        <v>25</v>
      </c>
      <c r="BM65" s="15">
        <f t="shared" si="21"/>
        <v>50</v>
      </c>
      <c r="BN65" s="15">
        <f t="shared" si="22"/>
        <v>50</v>
      </c>
      <c r="BO65">
        <f t="shared" si="23"/>
        <v>0</v>
      </c>
      <c r="BP65" s="15">
        <f t="shared" si="24"/>
        <v>80</v>
      </c>
      <c r="BQ65" s="15">
        <f t="shared" si="25"/>
        <v>100</v>
      </c>
      <c r="BR65">
        <f t="shared" si="26"/>
        <v>80</v>
      </c>
      <c r="BS65">
        <f t="shared" si="27"/>
        <v>50</v>
      </c>
    </row>
    <row r="66" spans="1:71" x14ac:dyDescent="0.25">
      <c r="A66">
        <v>65</v>
      </c>
      <c r="B66" t="s">
        <v>220</v>
      </c>
      <c r="C66" t="s">
        <v>40</v>
      </c>
      <c r="D66" s="1" t="d">
        <v>2018-06-18T18:52:46.00000017788261475</v>
      </c>
      <c r="E66" s="1" t="d">
        <v>2018-06-18T20:37:30.000</v>
      </c>
      <c r="F66" t="s">
        <v>221</v>
      </c>
      <c r="G66">
        <v>5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4</v>
      </c>
      <c r="P66">
        <v>5</v>
      </c>
      <c r="Q66">
        <v>2</v>
      </c>
      <c r="R66">
        <v>1</v>
      </c>
      <c r="S66">
        <v>3</v>
      </c>
      <c r="T66">
        <v>4</v>
      </c>
      <c r="U66" s="1" t="d">
        <v>2018-12-10T17:25:54.00000012014061150</v>
      </c>
      <c r="V66" s="1" t="d">
        <v>2018-12-10T18:16:33.99999976158141900</v>
      </c>
      <c r="W66" t="s">
        <v>222</v>
      </c>
      <c r="X66">
        <v>5</v>
      </c>
      <c r="Y66">
        <v>1</v>
      </c>
      <c r="Z66">
        <v>1</v>
      </c>
      <c r="AA66">
        <v>2</v>
      </c>
      <c r="AB66">
        <v>1</v>
      </c>
      <c r="AC66">
        <v>1</v>
      </c>
      <c r="AD66">
        <v>1</v>
      </c>
      <c r="AE66">
        <v>1</v>
      </c>
      <c r="AF66">
        <v>3</v>
      </c>
      <c r="AG66">
        <v>5</v>
      </c>
      <c r="AH66">
        <v>2</v>
      </c>
      <c r="AI66">
        <v>1</v>
      </c>
      <c r="AJ66">
        <v>3</v>
      </c>
      <c r="AK66">
        <v>3</v>
      </c>
      <c r="AM66" t="str">
        <f t="shared" si="0"/>
        <v>0</v>
      </c>
      <c r="AN66">
        <f t="shared" si="1"/>
        <v>0</v>
      </c>
      <c r="AO66">
        <f t="shared" si="2"/>
        <v>0</v>
      </c>
      <c r="AP66" s="15">
        <f t="shared" si="3"/>
        <v>100</v>
      </c>
      <c r="AQ66" s="15">
        <f t="shared" si="4"/>
        <v>100</v>
      </c>
      <c r="AR66" s="15">
        <f t="shared" si="5"/>
        <v>100</v>
      </c>
      <c r="AS66" s="15">
        <f t="shared" si="6"/>
        <v>100</v>
      </c>
      <c r="AT66">
        <f t="shared" si="7"/>
        <v>100</v>
      </c>
      <c r="AU66" s="15">
        <f t="shared" si="8"/>
        <v>40</v>
      </c>
      <c r="AV66" s="15">
        <f t="shared" si="9"/>
        <v>20</v>
      </c>
      <c r="AW66">
        <f t="shared" si="10"/>
        <v>20</v>
      </c>
      <c r="AX66">
        <f t="shared" si="11"/>
        <v>0</v>
      </c>
      <c r="BB66" s="14">
        <f t="shared" si="12"/>
        <v>37.878484003000004</v>
      </c>
      <c r="BC66" s="14">
        <f t="shared" si="13"/>
        <v>34.750644229999999</v>
      </c>
      <c r="BE66" s="14">
        <f t="shared" si="14"/>
        <v>35.237800943000003</v>
      </c>
      <c r="BF66" s="14">
        <f t="shared" si="15"/>
        <v>37.568151685999993</v>
      </c>
      <c r="BH66" t="str">
        <f t="shared" si="16"/>
        <v>0</v>
      </c>
      <c r="BI66">
        <f t="shared" si="17"/>
        <v>0</v>
      </c>
      <c r="BJ66">
        <f t="shared" si="18"/>
        <v>0</v>
      </c>
      <c r="BK66" s="15">
        <f t="shared" si="19"/>
        <v>75</v>
      </c>
      <c r="BL66" s="15">
        <f t="shared" si="20"/>
        <v>100</v>
      </c>
      <c r="BM66" s="15">
        <f t="shared" si="21"/>
        <v>100</v>
      </c>
      <c r="BN66" s="15">
        <f t="shared" si="22"/>
        <v>100</v>
      </c>
      <c r="BO66">
        <f t="shared" si="23"/>
        <v>100</v>
      </c>
      <c r="BP66" s="15">
        <f t="shared" si="24"/>
        <v>60</v>
      </c>
      <c r="BQ66" s="15">
        <f t="shared" si="25"/>
        <v>20</v>
      </c>
      <c r="BR66">
        <f t="shared" si="26"/>
        <v>20</v>
      </c>
      <c r="BS66">
        <f t="shared" si="27"/>
        <v>0</v>
      </c>
    </row>
    <row r="67" spans="1:71" x14ac:dyDescent="0.25">
      <c r="A67">
        <v>66</v>
      </c>
      <c r="B67" t="s">
        <v>223</v>
      </c>
      <c r="C67" t="s">
        <v>40</v>
      </c>
      <c r="D67" s="1" t="d">
        <v>2018-07-02T11:27:58.99999979417770800</v>
      </c>
      <c r="E67" s="1" t="d">
        <v>2018-07-02T12:05:32.00000028591603300</v>
      </c>
      <c r="F67" t="s">
        <v>224</v>
      </c>
      <c r="G67">
        <v>1</v>
      </c>
      <c r="H67">
        <v>3</v>
      </c>
      <c r="I67">
        <v>2</v>
      </c>
      <c r="J67">
        <v>5</v>
      </c>
      <c r="K67">
        <v>5</v>
      </c>
      <c r="L67">
        <v>5</v>
      </c>
      <c r="M67">
        <v>5</v>
      </c>
      <c r="N67">
        <v>3</v>
      </c>
      <c r="O67">
        <v>1</v>
      </c>
      <c r="P67">
        <v>1</v>
      </c>
      <c r="Q67">
        <v>5</v>
      </c>
      <c r="R67">
        <v>5</v>
      </c>
      <c r="S67">
        <v>4</v>
      </c>
      <c r="T67">
        <v>3</v>
      </c>
      <c r="U67" s="1" t="d">
        <v>2018-12-14T21:34:47.000000034458935050</v>
      </c>
      <c r="V67" s="1" t="d">
        <v>2018-12-14T22:06:39.00000002235174450</v>
      </c>
      <c r="W67" t="s">
        <v>225</v>
      </c>
      <c r="X67">
        <v>2</v>
      </c>
      <c r="Y67">
        <v>2</v>
      </c>
      <c r="Z67">
        <v>2</v>
      </c>
      <c r="AA67">
        <v>4</v>
      </c>
      <c r="AB67">
        <v>4</v>
      </c>
      <c r="AC67">
        <v>3</v>
      </c>
      <c r="AD67">
        <v>3</v>
      </c>
      <c r="AE67">
        <v>3</v>
      </c>
      <c r="AF67">
        <v>1</v>
      </c>
      <c r="AG67">
        <v>1</v>
      </c>
      <c r="AH67">
        <v>3</v>
      </c>
      <c r="AI67">
        <v>4</v>
      </c>
      <c r="AJ67">
        <v>4</v>
      </c>
      <c r="AK67">
        <v>4</v>
      </c>
      <c r="AM67" t="str">
        <f t="shared" ref="AM67:AM130" si="28">IF(G67=1,"100",IF(G67=2,"85",IF(G67=3,"60",IF(G67=4,"35","0"))))</f>
        <v>100</v>
      </c>
      <c r="AN67">
        <f t="shared" ref="AN67:AN130" si="29">(H67-1)*50</f>
        <v>100</v>
      </c>
      <c r="AO67">
        <f t="shared" ref="AO67:AO130" si="30">(I67-1)*50</f>
        <v>50</v>
      </c>
      <c r="AP67" s="15">
        <f t="shared" ref="AP67:AP130" si="31">(5-J67)*25</f>
        <v>0</v>
      </c>
      <c r="AQ67" s="15">
        <f t="shared" ref="AQ67:AQ130" si="32">(5-K67)*25</f>
        <v>0</v>
      </c>
      <c r="AR67" s="15">
        <f t="shared" ref="AR67:AR130" si="33">(5-L67)*25</f>
        <v>0</v>
      </c>
      <c r="AS67" s="15">
        <f t="shared" ref="AS67:AS130" si="34">(5-M67)*25</f>
        <v>0</v>
      </c>
      <c r="AT67">
        <f t="shared" ref="AT67:AT130" si="35">(5-N67)*25</f>
        <v>50</v>
      </c>
      <c r="AU67" s="15">
        <f t="shared" ref="AU67:AU130" si="36">(6-O67)*20</f>
        <v>100</v>
      </c>
      <c r="AV67" s="15">
        <f t="shared" ref="AV67:AV130" si="37">(6-P67)*20</f>
        <v>100</v>
      </c>
      <c r="AW67">
        <f t="shared" ref="AW67:AW130" si="38" xml:space="preserve"> (Q67-1)*20</f>
        <v>80</v>
      </c>
      <c r="AX67">
        <f t="shared" ref="AX67:AX130" si="39">(R67-1)*25</f>
        <v>100</v>
      </c>
      <c r="BB67" s="14">
        <f t="shared" ref="BB67:BB130" si="40">(0.0782523751*AM67)+(0.065064013*AN67)+(0.0748361349*AO67)+(0.0716978312*AP67)+(0.0741541386*AQ67)+((-0.057598263)*AR67)+((-0.032268941)*AS67)+(0.1339749098*AT67)+((-0.042411864)*AU67)+(0.0299689621*AV67)+((-0.053362399)*AW67)+(0.0046096779*AX67)+21.046859741</f>
        <v>40.766736465999998</v>
      </c>
      <c r="BC67" s="14">
        <f t="shared" ref="BC67:BC130" si="41">(-0.000915925*AM67)+(-0.035498649*AN67)+(-0.03157714*AO67)+(-0.0251735*AP67)+(-0.024652228*AQ67)+(0.1266860962*AR67)+(0.0808723569*AS67)+(-0.024371371*AT67)+(0.1094084978*AU67)+(0.0694271326*AV67)+(0.1493788958*AW67)+(0.1085734367*AX67)+12.66204834</f>
        <v>46.914383764</v>
      </c>
      <c r="BE67" s="14">
        <f t="shared" ref="BE67:BE130" si="42">(0.0782523751*BH67)+(0.065064013*BI67)+(0.0748361349*BJ67)+(0.0716978312*BK67)+(0.0741541386*BL67)+((-0.057598263)*BM67)+((-0.032268941)*BN67)+(0.1339749098*BO67)+((-0.042411864)*BP67)+(0.0299689621*BQ67)+((-0.053362399)*BR67)+(0.0046096779*BS67)+21.046859741</f>
        <v>37.511943246999998</v>
      </c>
      <c r="BF67" s="14">
        <f t="shared" ref="BF67:BF130" si="43">(-0.000915925*BH67)+(-0.035498649*BI67)+(-0.03157714*BJ67)+(-0.0251735*BK67)+(-0.024652228*BL67)+(0.1266860962*BM67)+(0.0808723569*BN67)+(-0.024371371*BO67)+(0.1094084978*BP67)+(0.0694271326*BQ67)+(0.1493788958*BR67)+(0.1085734367*BS67)+12.66204834</f>
        <v>49.145842794499998</v>
      </c>
      <c r="BH67" t="str">
        <f t="shared" si="16"/>
        <v>85</v>
      </c>
      <c r="BI67">
        <f t="shared" si="17"/>
        <v>50</v>
      </c>
      <c r="BJ67">
        <f t="shared" si="18"/>
        <v>50</v>
      </c>
      <c r="BK67" s="15">
        <f t="shared" si="19"/>
        <v>25</v>
      </c>
      <c r="BL67" s="15">
        <f t="shared" si="20"/>
        <v>25</v>
      </c>
      <c r="BM67" s="15">
        <f t="shared" si="21"/>
        <v>50</v>
      </c>
      <c r="BN67" s="15">
        <f t="shared" si="22"/>
        <v>50</v>
      </c>
      <c r="BO67">
        <f t="shared" si="23"/>
        <v>50</v>
      </c>
      <c r="BP67" s="15">
        <f t="shared" si="24"/>
        <v>100</v>
      </c>
      <c r="BQ67" s="15">
        <f t="shared" si="25"/>
        <v>100</v>
      </c>
      <c r="BR67">
        <f t="shared" si="26"/>
        <v>40</v>
      </c>
      <c r="BS67">
        <f t="shared" si="27"/>
        <v>75</v>
      </c>
    </row>
    <row r="68" spans="1:71" x14ac:dyDescent="0.25">
      <c r="A68">
        <v>67</v>
      </c>
      <c r="B68" t="s">
        <v>226</v>
      </c>
      <c r="C68" t="s">
        <v>40</v>
      </c>
      <c r="D68" s="1" t="d">
        <v>2018-06-18T15:59:05.99999974016100225</v>
      </c>
      <c r="E68" s="1" t="d">
        <v>2018-06-19T00:01:59.99999976251274675</v>
      </c>
      <c r="F68" t="s">
        <v>227</v>
      </c>
      <c r="G68">
        <v>3</v>
      </c>
      <c r="H68">
        <v>1</v>
      </c>
      <c r="I68">
        <v>2</v>
      </c>
      <c r="J68">
        <v>1</v>
      </c>
      <c r="K68">
        <v>5</v>
      </c>
      <c r="L68">
        <v>3</v>
      </c>
      <c r="M68">
        <v>3</v>
      </c>
      <c r="N68">
        <v>4</v>
      </c>
      <c r="O68">
        <v>3</v>
      </c>
      <c r="P68">
        <v>4</v>
      </c>
      <c r="Q68">
        <v>3</v>
      </c>
      <c r="R68">
        <v>2</v>
      </c>
      <c r="S68">
        <v>3</v>
      </c>
      <c r="T68">
        <v>3</v>
      </c>
      <c r="U68" s="1" t="d">
        <v>2019-01-11T15:50:05.99999986588954650</v>
      </c>
      <c r="V68" s="1" t="d">
        <v>2019-01-11T17:21:36.00000015925616100</v>
      </c>
      <c r="W68" t="s">
        <v>228</v>
      </c>
      <c r="X68">
        <v>3</v>
      </c>
      <c r="Y68">
        <v>2</v>
      </c>
      <c r="Z68">
        <v>1</v>
      </c>
      <c r="AA68">
        <v>3</v>
      </c>
      <c r="AB68">
        <v>4</v>
      </c>
      <c r="AC68">
        <v>3</v>
      </c>
      <c r="AD68">
        <v>2</v>
      </c>
      <c r="AE68">
        <v>4</v>
      </c>
      <c r="AF68">
        <v>4</v>
      </c>
      <c r="AG68">
        <v>2</v>
      </c>
      <c r="AH68">
        <v>3</v>
      </c>
      <c r="AI68">
        <v>3</v>
      </c>
      <c r="AJ68">
        <v>3</v>
      </c>
      <c r="AK68">
        <v>3</v>
      </c>
      <c r="AM68" t="str">
        <f t="shared" si="28"/>
        <v>60</v>
      </c>
      <c r="AN68">
        <f t="shared" si="29"/>
        <v>0</v>
      </c>
      <c r="AO68">
        <f t="shared" si="30"/>
        <v>50</v>
      </c>
      <c r="AP68" s="15">
        <f t="shared" si="31"/>
        <v>100</v>
      </c>
      <c r="AQ68" s="15">
        <f t="shared" si="32"/>
        <v>0</v>
      </c>
      <c r="AR68" s="15">
        <f t="shared" si="33"/>
        <v>50</v>
      </c>
      <c r="AS68" s="15">
        <f t="shared" si="34"/>
        <v>50</v>
      </c>
      <c r="AT68">
        <f t="shared" si="35"/>
        <v>25</v>
      </c>
      <c r="AU68" s="15">
        <f t="shared" si="36"/>
        <v>60</v>
      </c>
      <c r="AV68" s="15">
        <f t="shared" si="37"/>
        <v>40</v>
      </c>
      <c r="AW68">
        <f t="shared" si="38"/>
        <v>40</v>
      </c>
      <c r="AX68">
        <f t="shared" si="39"/>
        <v>25</v>
      </c>
      <c r="BB68" s="14">
        <f t="shared" si="40"/>
        <v>32.144397288500002</v>
      </c>
      <c r="BC68" s="14">
        <f t="shared" si="41"/>
        <v>36.310611141499997</v>
      </c>
      <c r="BE68" s="14">
        <f t="shared" si="42"/>
        <v>31.280267285000001</v>
      </c>
      <c r="BF68" s="14">
        <f t="shared" si="43"/>
        <v>42.081965179499996</v>
      </c>
      <c r="BH68" t="str">
        <f t="shared" ref="BH68:BH131" si="44">IF(X68=1,"100",IF(X68=2,"85",IF(X68=3,"60",IF(X68=4,"35","0"))))</f>
        <v>60</v>
      </c>
      <c r="BI68">
        <f t="shared" ref="BI68:BI130" si="45">(Y68-1)*50</f>
        <v>50</v>
      </c>
      <c r="BJ68">
        <f t="shared" ref="BJ68:BJ130" si="46">(Z68-1)*50</f>
        <v>0</v>
      </c>
      <c r="BK68" s="15">
        <f t="shared" ref="BK68:BK130" si="47">(5-AA68)*25</f>
        <v>50</v>
      </c>
      <c r="BL68" s="15">
        <f t="shared" ref="BL68:BL130" si="48">(5-AB68)*25</f>
        <v>25</v>
      </c>
      <c r="BM68" s="15">
        <f t="shared" ref="BM68:BM130" si="49">(5-AC68)*25</f>
        <v>50</v>
      </c>
      <c r="BN68" s="15">
        <f t="shared" ref="BN68:BN130" si="50">(5-AD68)*25</f>
        <v>75</v>
      </c>
      <c r="BO68">
        <f t="shared" ref="BO68:BO130" si="51">(5-AE68)*25</f>
        <v>25</v>
      </c>
      <c r="BP68" s="15">
        <f t="shared" ref="BP68:BP130" si="52">(6-AF68)*20</f>
        <v>40</v>
      </c>
      <c r="BQ68" s="15">
        <f t="shared" ref="BQ68:BQ130" si="53">(6-AG68)*20</f>
        <v>80</v>
      </c>
      <c r="BR68">
        <f t="shared" ref="BR68:BR130" si="54" xml:space="preserve"> (AH68-1)*20</f>
        <v>40</v>
      </c>
      <c r="BS68">
        <f t="shared" ref="BS68:BS131" si="55">(AI68-1)*25</f>
        <v>50</v>
      </c>
    </row>
    <row r="69" spans="1:71" x14ac:dyDescent="0.25">
      <c r="A69">
        <v>68</v>
      </c>
      <c r="B69" t="s">
        <v>229</v>
      </c>
      <c r="C69" t="s">
        <v>40</v>
      </c>
      <c r="D69" s="1" t="d">
        <v>2018-06-29T19:55:31.000000191852450</v>
      </c>
      <c r="E69" s="1" t="d">
        <v>2018-06-29T23:31:06.99999973643571150</v>
      </c>
      <c r="F69" t="s">
        <v>230</v>
      </c>
      <c r="G69">
        <v>2</v>
      </c>
      <c r="H69">
        <v>1</v>
      </c>
      <c r="I69">
        <v>2</v>
      </c>
      <c r="J69">
        <v>3</v>
      </c>
      <c r="K69">
        <v>1</v>
      </c>
      <c r="L69">
        <v>1</v>
      </c>
      <c r="M69">
        <v>3</v>
      </c>
      <c r="N69">
        <v>2</v>
      </c>
      <c r="O69">
        <v>3</v>
      </c>
      <c r="P69">
        <v>3</v>
      </c>
      <c r="Q69">
        <v>2</v>
      </c>
      <c r="R69">
        <v>3</v>
      </c>
      <c r="S69">
        <v>3</v>
      </c>
      <c r="T69">
        <v>3</v>
      </c>
      <c r="U69" s="1" t="d">
        <v>2019-01-29T21:26:46.99999972712248800</v>
      </c>
      <c r="V69" s="1" t="d">
        <v>2019-01-31T16:38:08.00000029150396575</v>
      </c>
      <c r="W69" t="s">
        <v>231</v>
      </c>
      <c r="X69">
        <v>3</v>
      </c>
      <c r="Y69">
        <v>1</v>
      </c>
      <c r="Z69">
        <v>2</v>
      </c>
      <c r="AA69">
        <v>2</v>
      </c>
      <c r="AB69">
        <v>3</v>
      </c>
      <c r="AC69">
        <v>3</v>
      </c>
      <c r="AD69">
        <v>4</v>
      </c>
      <c r="AE69">
        <v>3</v>
      </c>
      <c r="AF69">
        <v>2</v>
      </c>
      <c r="AG69">
        <v>3</v>
      </c>
      <c r="AH69">
        <v>2</v>
      </c>
      <c r="AI69">
        <v>3</v>
      </c>
      <c r="AJ69">
        <v>4</v>
      </c>
      <c r="AK69">
        <v>3</v>
      </c>
      <c r="AM69" t="str">
        <f t="shared" si="28"/>
        <v>85</v>
      </c>
      <c r="AN69">
        <f t="shared" si="29"/>
        <v>0</v>
      </c>
      <c r="AO69">
        <f t="shared" si="30"/>
        <v>50</v>
      </c>
      <c r="AP69" s="15">
        <f t="shared" si="31"/>
        <v>50</v>
      </c>
      <c r="AQ69" s="15">
        <f t="shared" si="32"/>
        <v>100</v>
      </c>
      <c r="AR69" s="15">
        <f t="shared" si="33"/>
        <v>100</v>
      </c>
      <c r="AS69" s="15">
        <f t="shared" si="34"/>
        <v>50</v>
      </c>
      <c r="AT69">
        <f t="shared" si="35"/>
        <v>75</v>
      </c>
      <c r="AU69" s="15">
        <f t="shared" si="36"/>
        <v>60</v>
      </c>
      <c r="AV69" s="15">
        <f t="shared" si="37"/>
        <v>60</v>
      </c>
      <c r="AW69">
        <f t="shared" si="38"/>
        <v>20</v>
      </c>
      <c r="AX69">
        <f t="shared" si="39"/>
        <v>50</v>
      </c>
      <c r="BB69" s="14">
        <f t="shared" si="40"/>
        <v>43.531930475499998</v>
      </c>
      <c r="BC69" s="14">
        <f t="shared" si="41"/>
        <v>41.312202130000003</v>
      </c>
      <c r="BE69" s="14">
        <f t="shared" si="42"/>
        <v>39.149386597999992</v>
      </c>
      <c r="BF69" s="14">
        <f t="shared" si="43"/>
        <v>36.379714653500002</v>
      </c>
      <c r="BH69" t="str">
        <f t="shared" si="44"/>
        <v>60</v>
      </c>
      <c r="BI69">
        <f t="shared" si="45"/>
        <v>0</v>
      </c>
      <c r="BJ69">
        <f t="shared" si="46"/>
        <v>50</v>
      </c>
      <c r="BK69" s="15">
        <f t="shared" si="47"/>
        <v>75</v>
      </c>
      <c r="BL69" s="15">
        <f t="shared" si="48"/>
        <v>50</v>
      </c>
      <c r="BM69" s="15">
        <f t="shared" si="49"/>
        <v>50</v>
      </c>
      <c r="BN69" s="15">
        <f t="shared" si="50"/>
        <v>25</v>
      </c>
      <c r="BO69">
        <f t="shared" si="51"/>
        <v>50</v>
      </c>
      <c r="BP69" s="15">
        <f t="shared" si="52"/>
        <v>80</v>
      </c>
      <c r="BQ69" s="15">
        <f t="shared" si="53"/>
        <v>60</v>
      </c>
      <c r="BR69">
        <f t="shared" si="54"/>
        <v>20</v>
      </c>
      <c r="BS69">
        <f t="shared" si="55"/>
        <v>50</v>
      </c>
    </row>
    <row r="70" spans="1:71" x14ac:dyDescent="0.25">
      <c r="A70">
        <v>69</v>
      </c>
      <c r="B70" t="s">
        <v>232</v>
      </c>
      <c r="C70" t="s">
        <v>40</v>
      </c>
      <c r="D70" s="1" t="d">
        <v>2018-06-22T19:33:39.9999998789280675</v>
      </c>
      <c r="E70" s="1" t="d">
        <v>2018-06-26T08:27:58.99999979417770800</v>
      </c>
      <c r="F70" t="s">
        <v>233</v>
      </c>
      <c r="G70">
        <v>2</v>
      </c>
      <c r="H70">
        <v>2</v>
      </c>
      <c r="I70">
        <v>2</v>
      </c>
      <c r="J70">
        <v>5</v>
      </c>
      <c r="K70">
        <v>4</v>
      </c>
      <c r="L70">
        <v>4</v>
      </c>
      <c r="M70">
        <v>4</v>
      </c>
      <c r="N70">
        <v>3</v>
      </c>
      <c r="O70">
        <v>4</v>
      </c>
      <c r="P70">
        <v>2</v>
      </c>
      <c r="Q70">
        <v>2</v>
      </c>
      <c r="R70">
        <v>2</v>
      </c>
      <c r="S70">
        <v>2</v>
      </c>
      <c r="T70">
        <v>1</v>
      </c>
      <c r="U70" s="1" t="d">
        <v>2018-12-15T12:56:27.999999895691871825</v>
      </c>
      <c r="V70" s="1" t="d">
        <v>2018-12-19T12:01:40.00000011641532075</v>
      </c>
      <c r="W70" t="s">
        <v>234</v>
      </c>
      <c r="X70">
        <v>3</v>
      </c>
      <c r="Y70">
        <v>2</v>
      </c>
      <c r="Z70">
        <v>2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1</v>
      </c>
      <c r="AG70">
        <v>1</v>
      </c>
      <c r="AH70">
        <v>1</v>
      </c>
      <c r="AI70">
        <v>5</v>
      </c>
      <c r="AJ70">
        <v>2</v>
      </c>
      <c r="AK70">
        <v>1</v>
      </c>
      <c r="AM70" t="str">
        <f t="shared" si="28"/>
        <v>85</v>
      </c>
      <c r="AN70">
        <f t="shared" si="29"/>
        <v>50</v>
      </c>
      <c r="AO70">
        <f t="shared" si="30"/>
        <v>50</v>
      </c>
      <c r="AP70" s="15">
        <f t="shared" si="31"/>
        <v>0</v>
      </c>
      <c r="AQ70" s="15">
        <f t="shared" si="32"/>
        <v>25</v>
      </c>
      <c r="AR70" s="15">
        <f t="shared" si="33"/>
        <v>25</v>
      </c>
      <c r="AS70" s="15">
        <f t="shared" si="34"/>
        <v>25</v>
      </c>
      <c r="AT70">
        <f t="shared" si="35"/>
        <v>50</v>
      </c>
      <c r="AU70" s="15">
        <f t="shared" si="36"/>
        <v>40</v>
      </c>
      <c r="AV70" s="15">
        <f t="shared" si="37"/>
        <v>80</v>
      </c>
      <c r="AW70">
        <f t="shared" si="38"/>
        <v>20</v>
      </c>
      <c r="AX70">
        <f t="shared" si="39"/>
        <v>25</v>
      </c>
      <c r="BB70" s="14">
        <f t="shared" si="40"/>
        <v>40.748274249999994</v>
      </c>
      <c r="BC70" s="14">
        <f t="shared" si="41"/>
        <v>28.216916695999998</v>
      </c>
      <c r="BE70" s="14">
        <f t="shared" si="42"/>
        <v>31.953687242000001</v>
      </c>
      <c r="BF70" s="14">
        <f t="shared" si="43"/>
        <v>37.994210099999997</v>
      </c>
      <c r="BH70" t="str">
        <f t="shared" si="44"/>
        <v>60</v>
      </c>
      <c r="BI70">
        <f t="shared" si="45"/>
        <v>50</v>
      </c>
      <c r="BJ70">
        <f t="shared" si="46"/>
        <v>50</v>
      </c>
      <c r="BK70" s="15">
        <f t="shared" si="47"/>
        <v>0</v>
      </c>
      <c r="BL70" s="15">
        <f t="shared" si="48"/>
        <v>0</v>
      </c>
      <c r="BM70" s="15">
        <f t="shared" si="49"/>
        <v>0</v>
      </c>
      <c r="BN70" s="15">
        <f t="shared" si="50"/>
        <v>0</v>
      </c>
      <c r="BO70">
        <f t="shared" si="51"/>
        <v>0</v>
      </c>
      <c r="BP70" s="15">
        <f t="shared" si="52"/>
        <v>100</v>
      </c>
      <c r="BQ70" s="15">
        <f t="shared" si="53"/>
        <v>100</v>
      </c>
      <c r="BR70">
        <f t="shared" si="54"/>
        <v>0</v>
      </c>
      <c r="BS70">
        <f t="shared" si="55"/>
        <v>100</v>
      </c>
    </row>
    <row r="71" spans="1:71" x14ac:dyDescent="0.25">
      <c r="A71">
        <v>70</v>
      </c>
      <c r="B71" t="s">
        <v>235</v>
      </c>
      <c r="C71" t="s">
        <v>40</v>
      </c>
      <c r="D71" s="1" t="d">
        <v>2018-07-21T14:12:31.99999997857958325</v>
      </c>
      <c r="E71" s="1" t="d">
        <v>2018-07-21T14:53:12.99999978393316350</v>
      </c>
      <c r="F71" t="s">
        <v>236</v>
      </c>
      <c r="G71">
        <v>2</v>
      </c>
      <c r="H71">
        <v>2</v>
      </c>
      <c r="I71">
        <v>2</v>
      </c>
      <c r="J71">
        <v>5</v>
      </c>
      <c r="K71">
        <v>5</v>
      </c>
      <c r="L71">
        <v>5</v>
      </c>
      <c r="M71">
        <v>5</v>
      </c>
      <c r="N71">
        <v>5</v>
      </c>
      <c r="O71">
        <v>1</v>
      </c>
      <c r="P71">
        <v>1</v>
      </c>
      <c r="Q71">
        <v>6</v>
      </c>
      <c r="R71">
        <v>5</v>
      </c>
      <c r="S71">
        <v>2</v>
      </c>
      <c r="T71">
        <v>3</v>
      </c>
      <c r="U71" s="1" t="d">
        <v>2018-12-13T09:30:56.00000009872019475</v>
      </c>
      <c r="V71" s="1" t="d">
        <v>2018-12-18T07:47:16.99999975506216525</v>
      </c>
      <c r="W71" t="s">
        <v>237</v>
      </c>
      <c r="X71">
        <v>1</v>
      </c>
      <c r="Y71">
        <v>3</v>
      </c>
      <c r="Z71">
        <v>2</v>
      </c>
      <c r="AA71">
        <v>4</v>
      </c>
      <c r="AB71">
        <v>5</v>
      </c>
      <c r="AC71">
        <v>5</v>
      </c>
      <c r="AD71">
        <v>5</v>
      </c>
      <c r="AE71">
        <v>5</v>
      </c>
      <c r="AF71">
        <v>1</v>
      </c>
      <c r="AG71">
        <v>2</v>
      </c>
      <c r="AH71">
        <v>5</v>
      </c>
      <c r="AI71">
        <v>4</v>
      </c>
      <c r="AJ71">
        <v>2</v>
      </c>
      <c r="AK71">
        <v>4</v>
      </c>
      <c r="AM71" t="str">
        <f t="shared" si="28"/>
        <v>85</v>
      </c>
      <c r="AN71">
        <f t="shared" si="29"/>
        <v>50</v>
      </c>
      <c r="AO71">
        <f t="shared" si="30"/>
        <v>50</v>
      </c>
      <c r="AP71" s="15">
        <f t="shared" si="31"/>
        <v>0</v>
      </c>
      <c r="AQ71" s="15">
        <f t="shared" si="32"/>
        <v>0</v>
      </c>
      <c r="AR71" s="15">
        <f t="shared" si="33"/>
        <v>0</v>
      </c>
      <c r="AS71" s="15">
        <f t="shared" si="34"/>
        <v>0</v>
      </c>
      <c r="AT71">
        <f t="shared" si="35"/>
        <v>0</v>
      </c>
      <c r="AU71" s="15">
        <f t="shared" si="36"/>
        <v>100</v>
      </c>
      <c r="AV71" s="15">
        <f t="shared" si="37"/>
        <v>100</v>
      </c>
      <c r="AW71">
        <f t="shared" si="38"/>
        <v>100</v>
      </c>
      <c r="AX71">
        <f t="shared" si="39"/>
        <v>100</v>
      </c>
      <c r="BB71" s="14">
        <f t="shared" si="40"/>
        <v>28.573756719499997</v>
      </c>
      <c r="BC71" s="14">
        <f t="shared" si="41"/>
        <v>52.909201554999996</v>
      </c>
      <c r="BE71" s="14">
        <f t="shared" si="42"/>
        <v>35.145815566500005</v>
      </c>
      <c r="BF71" s="14">
        <f t="shared" si="43"/>
        <v>43.400736244499996</v>
      </c>
      <c r="BH71" t="str">
        <f t="shared" si="44"/>
        <v>100</v>
      </c>
      <c r="BI71">
        <f t="shared" si="45"/>
        <v>100</v>
      </c>
      <c r="BJ71">
        <f t="shared" si="46"/>
        <v>50</v>
      </c>
      <c r="BK71" s="15">
        <f t="shared" si="47"/>
        <v>25</v>
      </c>
      <c r="BL71" s="15">
        <f t="shared" si="48"/>
        <v>0</v>
      </c>
      <c r="BM71" s="15">
        <f t="shared" si="49"/>
        <v>0</v>
      </c>
      <c r="BN71" s="15">
        <f t="shared" si="50"/>
        <v>0</v>
      </c>
      <c r="BO71">
        <f t="shared" si="51"/>
        <v>0</v>
      </c>
      <c r="BP71" s="15">
        <f t="shared" si="52"/>
        <v>100</v>
      </c>
      <c r="BQ71" s="15">
        <f t="shared" si="53"/>
        <v>80</v>
      </c>
      <c r="BR71">
        <f t="shared" si="54"/>
        <v>80</v>
      </c>
      <c r="BS71">
        <f t="shared" si="55"/>
        <v>75</v>
      </c>
    </row>
    <row r="72" spans="1:71" x14ac:dyDescent="0.25">
      <c r="A72">
        <v>71</v>
      </c>
      <c r="B72" t="s">
        <v>238</v>
      </c>
      <c r="C72" t="s">
        <v>40</v>
      </c>
      <c r="D72" s="1" t="d">
        <v>2018-07-16T07:29:07.0000001834705475</v>
      </c>
      <c r="E72" s="1" t="d">
        <v>2018-07-16T07:51:40.00000025611370700</v>
      </c>
      <c r="F72" t="s">
        <v>239</v>
      </c>
      <c r="G72">
        <v>2</v>
      </c>
      <c r="H72">
        <v>1</v>
      </c>
      <c r="I72">
        <v>2</v>
      </c>
      <c r="J72">
        <v>3</v>
      </c>
      <c r="K72">
        <v>2</v>
      </c>
      <c r="L72">
        <v>2</v>
      </c>
      <c r="M72">
        <v>2</v>
      </c>
      <c r="N72">
        <v>3</v>
      </c>
      <c r="O72">
        <v>1</v>
      </c>
      <c r="P72">
        <v>1</v>
      </c>
      <c r="Q72">
        <v>5</v>
      </c>
      <c r="R72">
        <v>5</v>
      </c>
      <c r="S72">
        <v>1</v>
      </c>
      <c r="T72">
        <v>1</v>
      </c>
      <c r="U72" s="1" t="d">
        <v>2018-12-02T07:23:15.99999985657632300</v>
      </c>
      <c r="V72" s="1" t="d">
        <v>2018-12-02T07:52:52.000000113621354375</v>
      </c>
      <c r="W72" t="s">
        <v>240</v>
      </c>
      <c r="X72">
        <v>2</v>
      </c>
      <c r="Y72">
        <v>2</v>
      </c>
      <c r="Z72">
        <v>2</v>
      </c>
      <c r="AA72">
        <v>2</v>
      </c>
      <c r="AB72">
        <v>2</v>
      </c>
      <c r="AC72">
        <v>4</v>
      </c>
      <c r="AD72">
        <v>4</v>
      </c>
      <c r="AE72">
        <v>2</v>
      </c>
      <c r="AF72">
        <v>2</v>
      </c>
      <c r="AG72">
        <v>1</v>
      </c>
      <c r="AH72">
        <v>5</v>
      </c>
      <c r="AI72">
        <v>5</v>
      </c>
      <c r="AJ72">
        <v>1</v>
      </c>
      <c r="AK72">
        <v>3</v>
      </c>
      <c r="AM72" t="str">
        <f t="shared" si="28"/>
        <v>85</v>
      </c>
      <c r="AN72">
        <f t="shared" si="29"/>
        <v>0</v>
      </c>
      <c r="AO72">
        <f t="shared" si="30"/>
        <v>50</v>
      </c>
      <c r="AP72" s="15">
        <f t="shared" si="31"/>
        <v>50</v>
      </c>
      <c r="AQ72" s="15">
        <f t="shared" si="32"/>
        <v>75</v>
      </c>
      <c r="AR72" s="15">
        <f t="shared" si="33"/>
        <v>75</v>
      </c>
      <c r="AS72" s="15">
        <f t="shared" si="34"/>
        <v>75</v>
      </c>
      <c r="AT72">
        <f t="shared" si="35"/>
        <v>50</v>
      </c>
      <c r="AU72" s="15">
        <f t="shared" si="36"/>
        <v>100</v>
      </c>
      <c r="AV72" s="15">
        <f t="shared" si="37"/>
        <v>100</v>
      </c>
      <c r="AW72">
        <f t="shared" si="38"/>
        <v>80</v>
      </c>
      <c r="AX72">
        <f t="shared" si="39"/>
        <v>100</v>
      </c>
      <c r="BB72" s="14">
        <f t="shared" si="40"/>
        <v>35.492961194499998</v>
      </c>
      <c r="BC72" s="14">
        <f t="shared" si="41"/>
        <v>62.937279421499994</v>
      </c>
      <c r="BE72" s="14">
        <f t="shared" si="42"/>
        <v>49.229577849500004</v>
      </c>
      <c r="BF72" s="14">
        <f t="shared" si="43"/>
        <v>47.357632585499999</v>
      </c>
      <c r="BH72" t="str">
        <f t="shared" si="44"/>
        <v>85</v>
      </c>
      <c r="BI72">
        <f t="shared" si="45"/>
        <v>50</v>
      </c>
      <c r="BJ72">
        <f t="shared" si="46"/>
        <v>50</v>
      </c>
      <c r="BK72" s="15">
        <f t="shared" si="47"/>
        <v>75</v>
      </c>
      <c r="BL72" s="15">
        <f t="shared" si="48"/>
        <v>75</v>
      </c>
      <c r="BM72" s="15">
        <f t="shared" si="49"/>
        <v>25</v>
      </c>
      <c r="BN72" s="15">
        <f t="shared" si="50"/>
        <v>25</v>
      </c>
      <c r="BO72">
        <f t="shared" si="51"/>
        <v>75</v>
      </c>
      <c r="BP72" s="15">
        <f t="shared" si="52"/>
        <v>80</v>
      </c>
      <c r="BQ72" s="15">
        <f t="shared" si="53"/>
        <v>100</v>
      </c>
      <c r="BR72">
        <f t="shared" si="54"/>
        <v>80</v>
      </c>
      <c r="BS72">
        <f t="shared" si="55"/>
        <v>100</v>
      </c>
    </row>
    <row r="73" spans="1:71" x14ac:dyDescent="0.25">
      <c r="A73">
        <v>72</v>
      </c>
      <c r="B73" t="s">
        <v>241</v>
      </c>
      <c r="C73" t="s">
        <v>111</v>
      </c>
      <c r="D73" s="1" t="d">
        <v>2018-07-28T15:30:30.00000030733644975</v>
      </c>
      <c r="E73" s="1" t="d">
        <v>2018-07-28T15:57:39.00000014808028875</v>
      </c>
      <c r="F73" t="s">
        <v>242</v>
      </c>
      <c r="G73">
        <v>3</v>
      </c>
      <c r="H73">
        <v>1</v>
      </c>
      <c r="I73">
        <v>1</v>
      </c>
      <c r="J73">
        <v>1</v>
      </c>
      <c r="K73">
        <v>1</v>
      </c>
      <c r="L73">
        <v>4</v>
      </c>
      <c r="M73">
        <v>1</v>
      </c>
      <c r="N73">
        <v>2</v>
      </c>
      <c r="O73">
        <v>3</v>
      </c>
      <c r="P73">
        <v>2</v>
      </c>
      <c r="Q73">
        <v>5</v>
      </c>
      <c r="R73">
        <v>3</v>
      </c>
      <c r="S73">
        <v>1</v>
      </c>
      <c r="T73">
        <v>4</v>
      </c>
      <c r="U73" s="1" t="d">
        <v>2018-12-16T08:08:20.00000016298145175</v>
      </c>
      <c r="V73" s="1" t="d">
        <v>2018-12-16T08:34:14.00000007357448050</v>
      </c>
      <c r="W73" t="s">
        <v>243</v>
      </c>
      <c r="X73">
        <v>3</v>
      </c>
      <c r="Y73">
        <v>1</v>
      </c>
      <c r="Z73">
        <v>1</v>
      </c>
      <c r="AA73">
        <v>1</v>
      </c>
      <c r="AB73">
        <v>1</v>
      </c>
      <c r="AC73">
        <v>4</v>
      </c>
      <c r="AD73">
        <v>4</v>
      </c>
      <c r="AE73">
        <v>1</v>
      </c>
      <c r="AF73">
        <v>2</v>
      </c>
      <c r="AG73">
        <v>1</v>
      </c>
      <c r="AH73">
        <v>5</v>
      </c>
      <c r="AI73">
        <v>4</v>
      </c>
      <c r="AJ73">
        <v>2</v>
      </c>
      <c r="AK73">
        <v>1</v>
      </c>
      <c r="AM73" t="str">
        <f t="shared" si="28"/>
        <v>60</v>
      </c>
      <c r="AN73">
        <f t="shared" si="29"/>
        <v>0</v>
      </c>
      <c r="AO73">
        <f t="shared" si="30"/>
        <v>0</v>
      </c>
      <c r="AP73" s="15">
        <f t="shared" si="31"/>
        <v>100</v>
      </c>
      <c r="AQ73" s="15">
        <f t="shared" si="32"/>
        <v>100</v>
      </c>
      <c r="AR73" s="15">
        <f t="shared" si="33"/>
        <v>25</v>
      </c>
      <c r="AS73" s="15">
        <f t="shared" si="34"/>
        <v>100</v>
      </c>
      <c r="AT73">
        <f t="shared" si="35"/>
        <v>75</v>
      </c>
      <c r="AU73" s="15">
        <f t="shared" si="36"/>
        <v>60</v>
      </c>
      <c r="AV73" s="15">
        <f t="shared" si="37"/>
        <v>80</v>
      </c>
      <c r="AW73">
        <f t="shared" si="38"/>
        <v>80</v>
      </c>
      <c r="AX73">
        <f t="shared" si="39"/>
        <v>50</v>
      </c>
      <c r="BB73" s="14">
        <f t="shared" si="40"/>
        <v>41.52276389</v>
      </c>
      <c r="BC73" s="14">
        <f t="shared" si="41"/>
        <v>46.548719284999997</v>
      </c>
      <c r="BE73" s="14">
        <f t="shared" si="42"/>
        <v>47.158691119500006</v>
      </c>
      <c r="BF73" s="14">
        <f t="shared" si="43"/>
        <v>46.165056767999999</v>
      </c>
      <c r="BH73" t="str">
        <f t="shared" si="44"/>
        <v>60</v>
      </c>
      <c r="BI73">
        <f t="shared" si="45"/>
        <v>0</v>
      </c>
      <c r="BJ73">
        <f t="shared" si="46"/>
        <v>0</v>
      </c>
      <c r="BK73" s="15">
        <f t="shared" si="47"/>
        <v>100</v>
      </c>
      <c r="BL73" s="15">
        <f t="shared" si="48"/>
        <v>100</v>
      </c>
      <c r="BM73" s="15">
        <f t="shared" si="49"/>
        <v>25</v>
      </c>
      <c r="BN73" s="15">
        <f t="shared" si="50"/>
        <v>25</v>
      </c>
      <c r="BO73">
        <f t="shared" si="51"/>
        <v>100</v>
      </c>
      <c r="BP73" s="15">
        <f t="shared" si="52"/>
        <v>80</v>
      </c>
      <c r="BQ73" s="15">
        <f t="shared" si="53"/>
        <v>100</v>
      </c>
      <c r="BR73">
        <f t="shared" si="54"/>
        <v>80</v>
      </c>
      <c r="BS73">
        <f t="shared" si="55"/>
        <v>75</v>
      </c>
    </row>
    <row r="74" spans="1:71" x14ac:dyDescent="0.25">
      <c r="A74">
        <v>73</v>
      </c>
      <c r="B74" t="s">
        <v>244</v>
      </c>
      <c r="C74" t="s">
        <v>40</v>
      </c>
      <c r="D74" s="1" t="d">
        <v>2018-07-29T17:53:04.9999997997656475</v>
      </c>
      <c r="E74" s="1" t="d">
        <v>2018-07-29T18:43:35.00000024680048350</v>
      </c>
      <c r="F74" t="s">
        <v>245</v>
      </c>
      <c r="G74">
        <v>2</v>
      </c>
      <c r="H74">
        <v>2</v>
      </c>
      <c r="I74">
        <v>2</v>
      </c>
      <c r="J74">
        <v>4</v>
      </c>
      <c r="K74">
        <v>2</v>
      </c>
      <c r="L74">
        <v>4</v>
      </c>
      <c r="M74">
        <v>3</v>
      </c>
      <c r="N74">
        <v>3</v>
      </c>
      <c r="O74">
        <v>1</v>
      </c>
      <c r="P74">
        <v>2</v>
      </c>
      <c r="Q74">
        <v>5</v>
      </c>
      <c r="R74">
        <v>4</v>
      </c>
      <c r="S74">
        <v>3</v>
      </c>
      <c r="T74">
        <v>2</v>
      </c>
      <c r="AM74" t="str">
        <f t="shared" si="28"/>
        <v>85</v>
      </c>
      <c r="AN74">
        <f t="shared" si="29"/>
        <v>50</v>
      </c>
      <c r="AO74">
        <f t="shared" si="30"/>
        <v>50</v>
      </c>
      <c r="AP74" s="15">
        <f t="shared" si="31"/>
        <v>25</v>
      </c>
      <c r="AQ74" s="15">
        <f t="shared" si="32"/>
        <v>75</v>
      </c>
      <c r="AR74" s="15">
        <f t="shared" si="33"/>
        <v>25</v>
      </c>
      <c r="AS74" s="15">
        <f t="shared" si="34"/>
        <v>50</v>
      </c>
      <c r="AT74">
        <f t="shared" si="35"/>
        <v>50</v>
      </c>
      <c r="AU74" s="15">
        <f t="shared" si="36"/>
        <v>100</v>
      </c>
      <c r="AV74" s="15">
        <f t="shared" si="37"/>
        <v>80</v>
      </c>
      <c r="AW74">
        <f t="shared" si="38"/>
        <v>80</v>
      </c>
      <c r="AX74">
        <f t="shared" si="39"/>
        <v>75</v>
      </c>
      <c r="BB74" s="14">
        <f t="shared" si="40"/>
        <v>39.925731549999995</v>
      </c>
      <c r="BC74" s="14">
        <f t="shared" si="41"/>
        <v>49.332692169499992</v>
      </c>
      <c r="BK74" s="15"/>
      <c r="BL74" s="15"/>
      <c r="BM74" s="15"/>
      <c r="BN74" s="15"/>
      <c r="BP74" s="15"/>
      <c r="BQ74" s="15"/>
    </row>
    <row r="75" spans="1:71" x14ac:dyDescent="0.25">
      <c r="A75">
        <v>74</v>
      </c>
      <c r="B75" t="s">
        <v>246</v>
      </c>
      <c r="C75" t="s">
        <v>40</v>
      </c>
      <c r="D75" s="1" t="d">
        <v>2018-08-02T14:14:50.00000017695128700</v>
      </c>
      <c r="E75" s="1" t="d">
        <v>2018-08-02T15:08:10.00000013038516275</v>
      </c>
      <c r="F75" t="s">
        <v>247</v>
      </c>
      <c r="G75">
        <v>1</v>
      </c>
      <c r="H75">
        <v>3</v>
      </c>
      <c r="I75">
        <v>3</v>
      </c>
      <c r="J75">
        <v>4</v>
      </c>
      <c r="K75">
        <v>4</v>
      </c>
      <c r="L75">
        <v>5</v>
      </c>
      <c r="M75">
        <v>5</v>
      </c>
      <c r="N75">
        <v>5</v>
      </c>
      <c r="O75">
        <v>2</v>
      </c>
      <c r="P75">
        <v>2</v>
      </c>
      <c r="Q75">
        <v>6</v>
      </c>
      <c r="R75">
        <v>5</v>
      </c>
      <c r="S75">
        <v>3</v>
      </c>
      <c r="T75">
        <v>3</v>
      </c>
      <c r="U75" s="1" t="d">
        <v>2018-12-16T14:35:43.00000013317912575</v>
      </c>
      <c r="V75" s="1" t="d">
        <v>2018-12-16T15:06:04.00000022258609700</v>
      </c>
      <c r="W75" t="s">
        <v>248</v>
      </c>
      <c r="X75">
        <v>1</v>
      </c>
      <c r="Y75">
        <v>2</v>
      </c>
      <c r="Z75">
        <v>3</v>
      </c>
      <c r="AA75">
        <v>5</v>
      </c>
      <c r="AB75">
        <v>5</v>
      </c>
      <c r="AC75">
        <v>5</v>
      </c>
      <c r="AD75">
        <v>5</v>
      </c>
      <c r="AE75">
        <v>4</v>
      </c>
      <c r="AF75">
        <v>1</v>
      </c>
      <c r="AG75">
        <v>2</v>
      </c>
      <c r="AH75">
        <v>6</v>
      </c>
      <c r="AI75">
        <v>4</v>
      </c>
      <c r="AJ75">
        <v>4</v>
      </c>
      <c r="AK75">
        <v>3</v>
      </c>
      <c r="AM75" t="str">
        <f t="shared" si="28"/>
        <v>100</v>
      </c>
      <c r="AN75">
        <f t="shared" si="29"/>
        <v>100</v>
      </c>
      <c r="AO75">
        <f t="shared" si="30"/>
        <v>100</v>
      </c>
      <c r="AP75" s="15">
        <f t="shared" si="31"/>
        <v>25</v>
      </c>
      <c r="AQ75" s="15">
        <f t="shared" si="32"/>
        <v>25</v>
      </c>
      <c r="AR75" s="15">
        <f t="shared" si="33"/>
        <v>0</v>
      </c>
      <c r="AS75" s="15">
        <f t="shared" si="34"/>
        <v>0</v>
      </c>
      <c r="AT75">
        <f t="shared" si="35"/>
        <v>0</v>
      </c>
      <c r="AU75" s="15">
        <f t="shared" si="36"/>
        <v>80</v>
      </c>
      <c r="AV75" s="15">
        <f t="shared" si="37"/>
        <v>80</v>
      </c>
      <c r="AW75">
        <f t="shared" si="38"/>
        <v>100</v>
      </c>
      <c r="AX75">
        <f t="shared" si="39"/>
        <v>100</v>
      </c>
      <c r="BB75" s="14">
        <f t="shared" si="40"/>
        <v>40.637707024000008</v>
      </c>
      <c r="BC75" s="14">
        <f t="shared" si="41"/>
        <v>44.719317421999996</v>
      </c>
      <c r="BE75" s="14">
        <f t="shared" si="42"/>
        <v>36.124100646500004</v>
      </c>
      <c r="BF75" s="14">
        <f t="shared" si="43"/>
        <v>46.604442835499995</v>
      </c>
      <c r="BH75" t="str">
        <f t="shared" si="44"/>
        <v>100</v>
      </c>
      <c r="BI75">
        <f t="shared" si="45"/>
        <v>50</v>
      </c>
      <c r="BJ75">
        <f t="shared" si="46"/>
        <v>100</v>
      </c>
      <c r="BK75" s="15">
        <f t="shared" si="47"/>
        <v>0</v>
      </c>
      <c r="BL75" s="15">
        <f t="shared" si="48"/>
        <v>0</v>
      </c>
      <c r="BM75" s="15">
        <f t="shared" si="49"/>
        <v>0</v>
      </c>
      <c r="BN75" s="15">
        <f t="shared" si="50"/>
        <v>0</v>
      </c>
      <c r="BO75">
        <f t="shared" si="51"/>
        <v>25</v>
      </c>
      <c r="BP75" s="15">
        <f t="shared" si="52"/>
        <v>100</v>
      </c>
      <c r="BQ75" s="15">
        <f t="shared" si="53"/>
        <v>80</v>
      </c>
      <c r="BR75">
        <f t="shared" si="54"/>
        <v>100</v>
      </c>
      <c r="BS75">
        <f t="shared" si="55"/>
        <v>75</v>
      </c>
    </row>
    <row r="76" spans="1:71" x14ac:dyDescent="0.25">
      <c r="A76">
        <v>75</v>
      </c>
      <c r="B76" t="s">
        <v>249</v>
      </c>
      <c r="C76" t="s">
        <v>40</v>
      </c>
      <c r="D76" s="1" t="d">
        <v>2018-07-20T07:24:06.00000022910535075</v>
      </c>
      <c r="E76" s="1" t="d">
        <v>2018-07-20T07:47:00.00000018160789875</v>
      </c>
      <c r="F76" t="s">
        <v>250</v>
      </c>
      <c r="G76">
        <v>3</v>
      </c>
      <c r="H76">
        <v>1</v>
      </c>
      <c r="I76">
        <v>1</v>
      </c>
      <c r="J76">
        <v>2</v>
      </c>
      <c r="K76">
        <v>2</v>
      </c>
      <c r="L76">
        <v>3</v>
      </c>
      <c r="M76">
        <v>4</v>
      </c>
      <c r="N76">
        <v>3</v>
      </c>
      <c r="O76">
        <v>2</v>
      </c>
      <c r="P76">
        <v>1</v>
      </c>
      <c r="Q76">
        <v>6</v>
      </c>
      <c r="R76">
        <v>3</v>
      </c>
      <c r="S76">
        <v>1</v>
      </c>
      <c r="T76">
        <v>1</v>
      </c>
      <c r="U76" s="1" t="d">
        <v>2018-12-11T07:11:11.0000001126900300</v>
      </c>
      <c r="V76" s="1" t="d">
        <v>2018-12-14T15:27:37.99999970477074350</v>
      </c>
      <c r="W76" t="s">
        <v>251</v>
      </c>
      <c r="X76">
        <v>3</v>
      </c>
      <c r="Y76">
        <v>2</v>
      </c>
      <c r="Z76">
        <v>1</v>
      </c>
      <c r="AA76">
        <v>2</v>
      </c>
      <c r="AB76">
        <v>2</v>
      </c>
      <c r="AC76">
        <v>1</v>
      </c>
      <c r="AD76">
        <v>2</v>
      </c>
      <c r="AE76">
        <v>2</v>
      </c>
      <c r="AF76">
        <v>2</v>
      </c>
      <c r="AG76">
        <v>4</v>
      </c>
      <c r="AH76">
        <v>3</v>
      </c>
      <c r="AI76">
        <v>3</v>
      </c>
      <c r="AJ76">
        <v>2</v>
      </c>
      <c r="AK76">
        <v>5</v>
      </c>
      <c r="AM76" t="str">
        <f t="shared" si="28"/>
        <v>60</v>
      </c>
      <c r="AN76">
        <f t="shared" si="29"/>
        <v>0</v>
      </c>
      <c r="AO76">
        <f t="shared" si="30"/>
        <v>0</v>
      </c>
      <c r="AP76" s="15">
        <f t="shared" si="31"/>
        <v>75</v>
      </c>
      <c r="AQ76" s="15">
        <f t="shared" si="32"/>
        <v>75</v>
      </c>
      <c r="AR76" s="15">
        <f t="shared" si="33"/>
        <v>50</v>
      </c>
      <c r="AS76" s="15">
        <f t="shared" si="34"/>
        <v>25</v>
      </c>
      <c r="AT76">
        <f t="shared" si="35"/>
        <v>50</v>
      </c>
      <c r="AU76" s="15">
        <f t="shared" si="36"/>
        <v>80</v>
      </c>
      <c r="AV76" s="15">
        <f t="shared" si="37"/>
        <v>100</v>
      </c>
      <c r="AW76">
        <f t="shared" si="38"/>
        <v>100</v>
      </c>
      <c r="AX76">
        <f t="shared" si="39"/>
        <v>50</v>
      </c>
      <c r="BB76" s="14">
        <f t="shared" si="40"/>
        <v>34.191199881999999</v>
      </c>
      <c r="BC76" s="14">
        <f t="shared" si="41"/>
        <v>52.069662921499997</v>
      </c>
      <c r="BE76" s="14">
        <f t="shared" si="42"/>
        <v>37.704019290999994</v>
      </c>
      <c r="BF76" s="14">
        <f t="shared" si="43"/>
        <v>46.935007147499995</v>
      </c>
      <c r="BH76" t="str">
        <f t="shared" si="44"/>
        <v>60</v>
      </c>
      <c r="BI76">
        <f t="shared" si="45"/>
        <v>50</v>
      </c>
      <c r="BJ76">
        <f t="shared" si="46"/>
        <v>0</v>
      </c>
      <c r="BK76" s="15">
        <f t="shared" si="47"/>
        <v>75</v>
      </c>
      <c r="BL76" s="15">
        <f t="shared" si="48"/>
        <v>75</v>
      </c>
      <c r="BM76" s="15">
        <f t="shared" si="49"/>
        <v>100</v>
      </c>
      <c r="BN76" s="15">
        <f t="shared" si="50"/>
        <v>75</v>
      </c>
      <c r="BO76">
        <f t="shared" si="51"/>
        <v>75</v>
      </c>
      <c r="BP76" s="15">
        <f t="shared" si="52"/>
        <v>80</v>
      </c>
      <c r="BQ76" s="15">
        <f t="shared" si="53"/>
        <v>40</v>
      </c>
      <c r="BR76">
        <f t="shared" si="54"/>
        <v>40</v>
      </c>
      <c r="BS76">
        <f t="shared" si="55"/>
        <v>50</v>
      </c>
    </row>
    <row r="77" spans="1:71" x14ac:dyDescent="0.25">
      <c r="A77">
        <v>76</v>
      </c>
      <c r="B77" t="s">
        <v>252</v>
      </c>
      <c r="C77" t="s">
        <v>40</v>
      </c>
      <c r="D77" s="1" t="d">
        <v>2018-08-06T08:23:02.00000014621764675</v>
      </c>
      <c r="E77" s="1" t="d">
        <v>2018-08-06T09:18:10.99999980535358025</v>
      </c>
      <c r="F77" t="s">
        <v>253</v>
      </c>
      <c r="G77">
        <v>2</v>
      </c>
      <c r="H77">
        <v>2</v>
      </c>
      <c r="I77">
        <v>2</v>
      </c>
      <c r="J77">
        <v>4</v>
      </c>
      <c r="K77">
        <v>4</v>
      </c>
      <c r="L77">
        <v>4</v>
      </c>
      <c r="M77">
        <v>4</v>
      </c>
      <c r="N77">
        <v>2</v>
      </c>
      <c r="O77">
        <v>1</v>
      </c>
      <c r="P77">
        <v>1</v>
      </c>
      <c r="Q77">
        <v>5</v>
      </c>
      <c r="R77">
        <v>4</v>
      </c>
      <c r="S77">
        <v>2</v>
      </c>
      <c r="T77">
        <v>3</v>
      </c>
      <c r="U77" s="1" t="d">
        <v>2019-01-23T19:39:47.99999977927655175</v>
      </c>
      <c r="V77" s="1" t="d">
        <v>2019-01-23T21:22:01.00000013597309550</v>
      </c>
      <c r="W77" t="s">
        <v>254</v>
      </c>
      <c r="X77">
        <v>2</v>
      </c>
      <c r="Y77">
        <v>2</v>
      </c>
      <c r="Z77">
        <v>2</v>
      </c>
      <c r="AA77">
        <v>3</v>
      </c>
      <c r="AB77">
        <v>4</v>
      </c>
      <c r="AC77">
        <v>4</v>
      </c>
      <c r="AD77">
        <v>3</v>
      </c>
      <c r="AE77">
        <v>2</v>
      </c>
      <c r="AF77">
        <v>2</v>
      </c>
      <c r="AG77">
        <v>3</v>
      </c>
      <c r="AH77">
        <v>5</v>
      </c>
      <c r="AI77">
        <v>3</v>
      </c>
      <c r="AJ77">
        <v>4</v>
      </c>
      <c r="AK77">
        <v>4</v>
      </c>
      <c r="AM77" t="str">
        <f t="shared" si="28"/>
        <v>85</v>
      </c>
      <c r="AN77">
        <f t="shared" si="29"/>
        <v>50</v>
      </c>
      <c r="AO77">
        <f t="shared" si="30"/>
        <v>50</v>
      </c>
      <c r="AP77" s="15">
        <f t="shared" si="31"/>
        <v>25</v>
      </c>
      <c r="AQ77" s="15">
        <f t="shared" si="32"/>
        <v>25</v>
      </c>
      <c r="AR77" s="15">
        <f t="shared" si="33"/>
        <v>25</v>
      </c>
      <c r="AS77" s="15">
        <f t="shared" si="34"/>
        <v>25</v>
      </c>
      <c r="AT77">
        <f t="shared" si="35"/>
        <v>75</v>
      </c>
      <c r="AU77" s="15">
        <f t="shared" si="36"/>
        <v>100</v>
      </c>
      <c r="AV77" s="15">
        <f t="shared" si="37"/>
        <v>100</v>
      </c>
      <c r="AW77">
        <f t="shared" si="38"/>
        <v>80</v>
      </c>
      <c r="AX77">
        <f t="shared" si="39"/>
        <v>75</v>
      </c>
      <c r="BB77" s="14">
        <f t="shared" si="40"/>
        <v>40.973500131999998</v>
      </c>
      <c r="BC77" s="14">
        <f t="shared" si="41"/>
        <v>49.322753023999994</v>
      </c>
      <c r="BE77" s="14">
        <f t="shared" si="42"/>
        <v>41.493459235499998</v>
      </c>
      <c r="BF77" s="14">
        <f t="shared" si="43"/>
        <v>43.035633269000002</v>
      </c>
      <c r="BH77" t="str">
        <f t="shared" si="44"/>
        <v>85</v>
      </c>
      <c r="BI77">
        <f t="shared" si="45"/>
        <v>50</v>
      </c>
      <c r="BJ77">
        <f t="shared" si="46"/>
        <v>50</v>
      </c>
      <c r="BK77" s="15">
        <f t="shared" si="47"/>
        <v>50</v>
      </c>
      <c r="BL77" s="15">
        <f t="shared" si="48"/>
        <v>25</v>
      </c>
      <c r="BM77" s="15">
        <f t="shared" si="49"/>
        <v>25</v>
      </c>
      <c r="BN77" s="15">
        <f t="shared" si="50"/>
        <v>50</v>
      </c>
      <c r="BO77">
        <f t="shared" si="51"/>
        <v>75</v>
      </c>
      <c r="BP77" s="15">
        <f t="shared" si="52"/>
        <v>80</v>
      </c>
      <c r="BQ77" s="15">
        <f t="shared" si="53"/>
        <v>60</v>
      </c>
      <c r="BR77">
        <f t="shared" si="54"/>
        <v>80</v>
      </c>
      <c r="BS77">
        <f t="shared" si="55"/>
        <v>50</v>
      </c>
    </row>
    <row r="78" spans="1:71" x14ac:dyDescent="0.25">
      <c r="A78">
        <v>77</v>
      </c>
      <c r="B78" t="s">
        <v>255</v>
      </c>
      <c r="C78" t="s">
        <v>111</v>
      </c>
      <c r="D78" s="1" t="d">
        <v>2018-08-17T09:16:17.00000018812715925</v>
      </c>
      <c r="E78" s="1" t="d">
        <v>2018-08-17T10:16:47.00000007636845025</v>
      </c>
      <c r="F78" t="s">
        <v>256</v>
      </c>
      <c r="G78">
        <v>3</v>
      </c>
      <c r="H78">
        <v>2</v>
      </c>
      <c r="I78">
        <v>1</v>
      </c>
      <c r="J78">
        <v>3</v>
      </c>
      <c r="K78">
        <v>3</v>
      </c>
      <c r="L78">
        <v>4</v>
      </c>
      <c r="M78">
        <v>3</v>
      </c>
      <c r="N78">
        <v>3</v>
      </c>
      <c r="O78">
        <v>2</v>
      </c>
      <c r="P78">
        <v>2</v>
      </c>
      <c r="Q78">
        <v>4</v>
      </c>
      <c r="R78">
        <v>4</v>
      </c>
      <c r="S78">
        <v>3</v>
      </c>
      <c r="T78">
        <v>4</v>
      </c>
      <c r="U78" s="1" t="d">
        <v>2019-02-17T10:32:37.99999984446912975</v>
      </c>
      <c r="V78" s="1" t="d">
        <v>2019-02-17T11:12:41.99999980162828950</v>
      </c>
      <c r="W78" t="s">
        <v>257</v>
      </c>
      <c r="X78">
        <v>3</v>
      </c>
      <c r="Y78">
        <v>2</v>
      </c>
      <c r="Z78">
        <v>1</v>
      </c>
      <c r="AA78">
        <v>2</v>
      </c>
      <c r="AB78">
        <v>3</v>
      </c>
      <c r="AC78">
        <v>3</v>
      </c>
      <c r="AD78">
        <v>2</v>
      </c>
      <c r="AE78">
        <v>2</v>
      </c>
      <c r="AF78">
        <v>3</v>
      </c>
      <c r="AG78">
        <v>3</v>
      </c>
      <c r="AH78">
        <v>3</v>
      </c>
      <c r="AI78">
        <v>4</v>
      </c>
      <c r="AJ78">
        <v>3</v>
      </c>
      <c r="AK78">
        <v>4</v>
      </c>
      <c r="AM78" t="str">
        <f t="shared" si="28"/>
        <v>60</v>
      </c>
      <c r="AN78">
        <f t="shared" si="29"/>
        <v>50</v>
      </c>
      <c r="AO78">
        <f t="shared" si="30"/>
        <v>0</v>
      </c>
      <c r="AP78" s="15">
        <f t="shared" si="31"/>
        <v>50</v>
      </c>
      <c r="AQ78" s="15">
        <f t="shared" si="32"/>
        <v>50</v>
      </c>
      <c r="AR78" s="15">
        <f t="shared" si="33"/>
        <v>25</v>
      </c>
      <c r="AS78" s="15">
        <f t="shared" si="34"/>
        <v>50</v>
      </c>
      <c r="AT78">
        <f t="shared" si="35"/>
        <v>50</v>
      </c>
      <c r="AU78" s="15">
        <f t="shared" si="36"/>
        <v>80</v>
      </c>
      <c r="AV78" s="15">
        <f t="shared" si="37"/>
        <v>80</v>
      </c>
      <c r="AW78">
        <f t="shared" si="38"/>
        <v>60</v>
      </c>
      <c r="AX78">
        <f t="shared" si="39"/>
        <v>75</v>
      </c>
      <c r="BB78" s="14">
        <f t="shared" si="40"/>
        <v>36.081693002500003</v>
      </c>
      <c r="BC78" s="14">
        <f t="shared" si="41"/>
        <v>45.745667622499994</v>
      </c>
      <c r="BE78" s="14">
        <f t="shared" si="42"/>
        <v>40.292937445500002</v>
      </c>
      <c r="BF78" s="14">
        <f t="shared" si="43"/>
        <v>43.131716650999991</v>
      </c>
      <c r="BH78" t="str">
        <f t="shared" si="44"/>
        <v>60</v>
      </c>
      <c r="BI78">
        <f t="shared" si="45"/>
        <v>50</v>
      </c>
      <c r="BJ78">
        <f t="shared" si="46"/>
        <v>0</v>
      </c>
      <c r="BK78" s="15">
        <f t="shared" si="47"/>
        <v>75</v>
      </c>
      <c r="BL78" s="15">
        <f t="shared" si="48"/>
        <v>50</v>
      </c>
      <c r="BM78" s="15">
        <f t="shared" si="49"/>
        <v>50</v>
      </c>
      <c r="BN78" s="15">
        <f t="shared" si="50"/>
        <v>75</v>
      </c>
      <c r="BO78">
        <f t="shared" si="51"/>
        <v>75</v>
      </c>
      <c r="BP78" s="15">
        <f t="shared" si="52"/>
        <v>60</v>
      </c>
      <c r="BQ78" s="15">
        <f t="shared" si="53"/>
        <v>60</v>
      </c>
      <c r="BR78">
        <f t="shared" si="54"/>
        <v>40</v>
      </c>
      <c r="BS78">
        <f t="shared" si="55"/>
        <v>75</v>
      </c>
    </row>
    <row r="79" spans="1:71" x14ac:dyDescent="0.25">
      <c r="A79">
        <v>78</v>
      </c>
      <c r="B79" t="s">
        <v>258</v>
      </c>
      <c r="C79" t="s">
        <v>40</v>
      </c>
      <c r="D79" s="1" t="d">
        <v>2018-08-18T15:30:19.99999985564500200</v>
      </c>
      <c r="E79" s="1" t="d">
        <v>2018-08-18T16:26:36.00000008940696450</v>
      </c>
      <c r="F79" t="s">
        <v>259</v>
      </c>
      <c r="G79">
        <v>2</v>
      </c>
      <c r="H79">
        <v>2</v>
      </c>
      <c r="I79">
        <v>2</v>
      </c>
      <c r="J79">
        <v>2</v>
      </c>
      <c r="K79">
        <v>3</v>
      </c>
      <c r="L79">
        <v>2</v>
      </c>
      <c r="M79">
        <v>2</v>
      </c>
      <c r="N79">
        <v>4</v>
      </c>
      <c r="O79">
        <v>1</v>
      </c>
      <c r="P79">
        <v>2</v>
      </c>
      <c r="Q79">
        <v>4</v>
      </c>
      <c r="R79">
        <v>3</v>
      </c>
      <c r="S79">
        <v>4</v>
      </c>
      <c r="T79">
        <v>4</v>
      </c>
      <c r="AM79" t="str">
        <f t="shared" si="28"/>
        <v>85</v>
      </c>
      <c r="AN79">
        <f t="shared" si="29"/>
        <v>50</v>
      </c>
      <c r="AO79">
        <f t="shared" si="30"/>
        <v>50</v>
      </c>
      <c r="AP79" s="15">
        <f t="shared" si="31"/>
        <v>75</v>
      </c>
      <c r="AQ79" s="15">
        <f t="shared" si="32"/>
        <v>50</v>
      </c>
      <c r="AR79" s="15">
        <f t="shared" si="33"/>
        <v>75</v>
      </c>
      <c r="AS79" s="15">
        <f t="shared" si="34"/>
        <v>75</v>
      </c>
      <c r="AT79">
        <f t="shared" si="35"/>
        <v>25</v>
      </c>
      <c r="AU79" s="15">
        <f t="shared" si="36"/>
        <v>100</v>
      </c>
      <c r="AV79" s="15">
        <f t="shared" si="37"/>
        <v>80</v>
      </c>
      <c r="AW79">
        <f t="shared" si="38"/>
        <v>60</v>
      </c>
      <c r="AX79">
        <f t="shared" si="39"/>
        <v>50</v>
      </c>
      <c r="BB79" s="14">
        <f t="shared" si="40"/>
        <v>35.5727662575</v>
      </c>
      <c r="BC79" s="14">
        <f t="shared" si="41"/>
        <v>51.953807043499999</v>
      </c>
      <c r="BK79" s="15"/>
      <c r="BL79" s="15"/>
      <c r="BM79" s="15"/>
      <c r="BN79" s="15"/>
      <c r="BP79" s="15"/>
      <c r="BQ79" s="15"/>
    </row>
    <row r="80" spans="1:71" x14ac:dyDescent="0.25">
      <c r="A80">
        <v>79</v>
      </c>
      <c r="B80" t="s">
        <v>260</v>
      </c>
      <c r="C80" t="s">
        <v>40</v>
      </c>
      <c r="D80" s="1" t="d">
        <v>2018-08-22T10:05:22.00000025331973725</v>
      </c>
      <c r="E80" s="1" t="d">
        <v>2018-08-22T17:51:51.00000010337680650</v>
      </c>
      <c r="F80" t="s">
        <v>261</v>
      </c>
      <c r="G80">
        <v>3</v>
      </c>
      <c r="H80">
        <v>1</v>
      </c>
      <c r="I80">
        <v>1</v>
      </c>
      <c r="J80">
        <v>5</v>
      </c>
      <c r="K80">
        <v>1</v>
      </c>
      <c r="L80">
        <v>4</v>
      </c>
      <c r="M80">
        <v>3</v>
      </c>
      <c r="N80">
        <v>2</v>
      </c>
      <c r="O80">
        <v>2</v>
      </c>
      <c r="P80">
        <v>1</v>
      </c>
      <c r="Q80">
        <v>4</v>
      </c>
      <c r="R80">
        <v>4</v>
      </c>
      <c r="S80">
        <v>1</v>
      </c>
      <c r="T80">
        <v>2</v>
      </c>
      <c r="U80" s="1" t="d">
        <v>2019-01-25T09:25:07.99999984446912975</v>
      </c>
      <c r="V80" s="1" t="d">
        <v>2019-01-25T16:03:58.99999971035867625</v>
      </c>
      <c r="W80" t="s">
        <v>262</v>
      </c>
      <c r="X80">
        <v>2</v>
      </c>
      <c r="Y80">
        <v>1</v>
      </c>
      <c r="Z80">
        <v>1</v>
      </c>
      <c r="AA80">
        <v>1</v>
      </c>
      <c r="AB80">
        <v>1</v>
      </c>
      <c r="AC80">
        <v>2</v>
      </c>
      <c r="AD80">
        <v>2</v>
      </c>
      <c r="AE80">
        <v>1</v>
      </c>
      <c r="AF80">
        <v>2</v>
      </c>
      <c r="AG80">
        <v>3</v>
      </c>
      <c r="AH80">
        <v>2</v>
      </c>
      <c r="AI80">
        <v>2</v>
      </c>
      <c r="AJ80">
        <v>3</v>
      </c>
      <c r="AK80">
        <v>4</v>
      </c>
      <c r="AM80" t="str">
        <f t="shared" si="28"/>
        <v>60</v>
      </c>
      <c r="AN80">
        <f t="shared" si="29"/>
        <v>0</v>
      </c>
      <c r="AO80">
        <f t="shared" si="30"/>
        <v>0</v>
      </c>
      <c r="AP80" s="15">
        <f t="shared" si="31"/>
        <v>0</v>
      </c>
      <c r="AQ80" s="15">
        <f t="shared" si="32"/>
        <v>100</v>
      </c>
      <c r="AR80" s="15">
        <f t="shared" si="33"/>
        <v>25</v>
      </c>
      <c r="AS80" s="15">
        <f t="shared" si="34"/>
        <v>50</v>
      </c>
      <c r="AT80">
        <f t="shared" si="35"/>
        <v>75</v>
      </c>
      <c r="AU80" s="15">
        <f t="shared" si="36"/>
        <v>80</v>
      </c>
      <c r="AV80" s="15">
        <f t="shared" si="37"/>
        <v>100</v>
      </c>
      <c r="AW80">
        <f t="shared" si="38"/>
        <v>60</v>
      </c>
      <c r="AX80">
        <f t="shared" si="39"/>
        <v>75</v>
      </c>
      <c r="BB80" s="14">
        <f t="shared" si="40"/>
        <v>36.900059709499999</v>
      </c>
      <c r="BC80" s="14">
        <f t="shared" si="41"/>
        <v>48.325922049499994</v>
      </c>
      <c r="BE80" s="14">
        <f t="shared" si="42"/>
        <v>46.394141857999998</v>
      </c>
      <c r="BF80" s="14">
        <f t="shared" si="43"/>
        <v>39.351590411000004</v>
      </c>
      <c r="BH80" t="str">
        <f t="shared" si="44"/>
        <v>85</v>
      </c>
      <c r="BI80">
        <f t="shared" si="45"/>
        <v>0</v>
      </c>
      <c r="BJ80">
        <f t="shared" si="46"/>
        <v>0</v>
      </c>
      <c r="BK80" s="15">
        <f t="shared" si="47"/>
        <v>100</v>
      </c>
      <c r="BL80" s="15">
        <f t="shared" si="48"/>
        <v>100</v>
      </c>
      <c r="BM80" s="15">
        <f t="shared" si="49"/>
        <v>75</v>
      </c>
      <c r="BN80" s="15">
        <f t="shared" si="50"/>
        <v>75</v>
      </c>
      <c r="BO80">
        <f t="shared" si="51"/>
        <v>100</v>
      </c>
      <c r="BP80" s="15">
        <f t="shared" si="52"/>
        <v>80</v>
      </c>
      <c r="BQ80" s="15">
        <f t="shared" si="53"/>
        <v>60</v>
      </c>
      <c r="BR80">
        <f t="shared" si="54"/>
        <v>20</v>
      </c>
      <c r="BS80">
        <f t="shared" si="55"/>
        <v>25</v>
      </c>
    </row>
    <row r="81" spans="1:71" x14ac:dyDescent="0.25">
      <c r="A81">
        <v>80</v>
      </c>
      <c r="B81" t="s">
        <v>263</v>
      </c>
      <c r="C81" t="s">
        <v>40</v>
      </c>
      <c r="D81" s="1" t="d">
        <v>2018-08-11T10:43:15.99999999627470925</v>
      </c>
      <c r="E81" s="1" t="d">
        <v>2018-08-11T11:07:08.00000030547380775</v>
      </c>
      <c r="F81" t="s">
        <v>264</v>
      </c>
      <c r="G81">
        <v>3</v>
      </c>
      <c r="H81">
        <v>2</v>
      </c>
      <c r="I81">
        <v>2</v>
      </c>
      <c r="J81">
        <v>3</v>
      </c>
      <c r="K81">
        <v>3</v>
      </c>
      <c r="L81">
        <v>3</v>
      </c>
      <c r="M81">
        <v>3</v>
      </c>
      <c r="N81">
        <v>3</v>
      </c>
      <c r="O81">
        <v>3</v>
      </c>
      <c r="P81">
        <v>4</v>
      </c>
      <c r="Q81">
        <v>2</v>
      </c>
      <c r="R81">
        <v>4</v>
      </c>
      <c r="S81">
        <v>3</v>
      </c>
      <c r="T81">
        <v>3</v>
      </c>
      <c r="U81" s="1" t="d">
        <v>2019-01-18T11:07:45.99999975878745600</v>
      </c>
      <c r="V81" s="1" t="d">
        <v>2019-01-18T11:40:48.99999999906867900</v>
      </c>
      <c r="W81" t="s">
        <v>265</v>
      </c>
      <c r="X81">
        <v>3</v>
      </c>
      <c r="Y81">
        <v>1</v>
      </c>
      <c r="Z81">
        <v>1</v>
      </c>
      <c r="AA81">
        <v>3</v>
      </c>
      <c r="AB81">
        <v>3</v>
      </c>
      <c r="AC81">
        <v>3</v>
      </c>
      <c r="AD81">
        <v>3</v>
      </c>
      <c r="AE81">
        <v>4</v>
      </c>
      <c r="AF81">
        <v>1</v>
      </c>
      <c r="AG81">
        <v>4</v>
      </c>
      <c r="AH81">
        <v>4</v>
      </c>
      <c r="AI81">
        <v>5</v>
      </c>
      <c r="AJ81">
        <v>2</v>
      </c>
      <c r="AK81">
        <v>3</v>
      </c>
      <c r="AM81" t="str">
        <f t="shared" si="28"/>
        <v>60</v>
      </c>
      <c r="AN81">
        <f t="shared" si="29"/>
        <v>50</v>
      </c>
      <c r="AO81">
        <f t="shared" si="30"/>
        <v>50</v>
      </c>
      <c r="AP81" s="15">
        <f t="shared" si="31"/>
        <v>50</v>
      </c>
      <c r="AQ81" s="15">
        <f t="shared" si="32"/>
        <v>50</v>
      </c>
      <c r="AR81" s="15">
        <f t="shared" si="33"/>
        <v>50</v>
      </c>
      <c r="AS81" s="15">
        <f t="shared" si="34"/>
        <v>50</v>
      </c>
      <c r="AT81">
        <f t="shared" si="35"/>
        <v>50</v>
      </c>
      <c r="AU81" s="15">
        <f t="shared" si="36"/>
        <v>60</v>
      </c>
      <c r="AV81" s="15">
        <f t="shared" si="37"/>
        <v>40</v>
      </c>
      <c r="AW81">
        <f t="shared" si="38"/>
        <v>20</v>
      </c>
      <c r="AX81">
        <f t="shared" si="39"/>
        <v>75</v>
      </c>
      <c r="BB81" s="14">
        <f t="shared" si="40"/>
        <v>40.167517928499997</v>
      </c>
      <c r="BC81" s="14">
        <f t="shared" si="41"/>
        <v>36.393551935499993</v>
      </c>
      <c r="BE81" s="14">
        <f t="shared" si="42"/>
        <v>26.107409216000001</v>
      </c>
      <c r="BF81" s="14">
        <f t="shared" si="43"/>
        <v>53.422457322</v>
      </c>
      <c r="BH81" t="str">
        <f t="shared" si="44"/>
        <v>60</v>
      </c>
      <c r="BI81">
        <f t="shared" si="45"/>
        <v>0</v>
      </c>
      <c r="BJ81">
        <f t="shared" si="46"/>
        <v>0</v>
      </c>
      <c r="BK81" s="15">
        <f t="shared" si="47"/>
        <v>50</v>
      </c>
      <c r="BL81" s="15">
        <f t="shared" si="48"/>
        <v>50</v>
      </c>
      <c r="BM81" s="15">
        <f t="shared" si="49"/>
        <v>50</v>
      </c>
      <c r="BN81" s="15">
        <f t="shared" si="50"/>
        <v>50</v>
      </c>
      <c r="BO81">
        <f t="shared" si="51"/>
        <v>25</v>
      </c>
      <c r="BP81" s="15">
        <f t="shared" si="52"/>
        <v>100</v>
      </c>
      <c r="BQ81" s="15">
        <f t="shared" si="53"/>
        <v>40</v>
      </c>
      <c r="BR81">
        <f t="shared" si="54"/>
        <v>60</v>
      </c>
      <c r="BS81">
        <f t="shared" si="55"/>
        <v>100</v>
      </c>
    </row>
    <row r="82" spans="1:71" x14ac:dyDescent="0.25">
      <c r="A82">
        <v>81</v>
      </c>
      <c r="B82" t="s">
        <v>266</v>
      </c>
      <c r="C82" t="s">
        <v>111</v>
      </c>
      <c r="D82" s="1" t="d">
        <v>2018-08-15T15:29:01.00000024773180450</v>
      </c>
      <c r="E82" s="1" t="d">
        <v>2018-08-29T12:49:14.99999988824129100</v>
      </c>
      <c r="F82" t="s">
        <v>267</v>
      </c>
      <c r="G82">
        <v>2</v>
      </c>
      <c r="H82">
        <v>1</v>
      </c>
      <c r="I82">
        <v>1</v>
      </c>
      <c r="J82">
        <v>3</v>
      </c>
      <c r="K82">
        <v>2</v>
      </c>
      <c r="L82">
        <v>3</v>
      </c>
      <c r="M82">
        <v>4</v>
      </c>
      <c r="N82">
        <v>1</v>
      </c>
      <c r="O82">
        <v>3</v>
      </c>
      <c r="P82">
        <v>2</v>
      </c>
      <c r="Q82">
        <v>4</v>
      </c>
      <c r="R82">
        <v>4</v>
      </c>
      <c r="S82">
        <v>3</v>
      </c>
      <c r="T82">
        <v>2</v>
      </c>
      <c r="U82" s="1" t="d">
        <v>2019-01-17T15:25:13.99999998975544875</v>
      </c>
      <c r="V82" s="1" t="d">
        <v>2019-01-17T15:54:37.99999995622783875</v>
      </c>
      <c r="W82" t="s">
        <v>268</v>
      </c>
      <c r="X82">
        <v>2</v>
      </c>
      <c r="Y82">
        <v>1</v>
      </c>
      <c r="Z82">
        <v>1</v>
      </c>
      <c r="AA82">
        <v>1</v>
      </c>
      <c r="AB82">
        <v>1</v>
      </c>
      <c r="AC82">
        <v>4</v>
      </c>
      <c r="AD82">
        <v>4</v>
      </c>
      <c r="AE82">
        <v>1</v>
      </c>
      <c r="AF82">
        <v>4</v>
      </c>
      <c r="AG82">
        <v>2</v>
      </c>
      <c r="AH82">
        <v>2</v>
      </c>
      <c r="AI82">
        <v>3</v>
      </c>
      <c r="AJ82">
        <v>3</v>
      </c>
      <c r="AK82">
        <v>3</v>
      </c>
      <c r="AM82" t="str">
        <f t="shared" si="28"/>
        <v>85</v>
      </c>
      <c r="AN82">
        <f t="shared" si="29"/>
        <v>0</v>
      </c>
      <c r="AO82">
        <f t="shared" si="30"/>
        <v>0</v>
      </c>
      <c r="AP82" s="15">
        <f t="shared" si="31"/>
        <v>50</v>
      </c>
      <c r="AQ82" s="15">
        <f t="shared" si="32"/>
        <v>75</v>
      </c>
      <c r="AR82" s="15">
        <f t="shared" si="33"/>
        <v>50</v>
      </c>
      <c r="AS82" s="15">
        <f t="shared" si="34"/>
        <v>25</v>
      </c>
      <c r="AT82">
        <f t="shared" si="35"/>
        <v>100</v>
      </c>
      <c r="AU82" s="15">
        <f t="shared" si="36"/>
        <v>60</v>
      </c>
      <c r="AV82" s="15">
        <f t="shared" si="37"/>
        <v>80</v>
      </c>
      <c r="AW82">
        <f t="shared" si="38"/>
        <v>60</v>
      </c>
      <c r="AX82">
        <f t="shared" si="39"/>
        <v>75</v>
      </c>
      <c r="BB82" s="14">
        <f t="shared" si="40"/>
        <v>43.552404914999997</v>
      </c>
      <c r="BC82" s="14">
        <f t="shared" si="41"/>
        <v>44.620001223999992</v>
      </c>
      <c r="BE82" s="14">
        <f t="shared" si="42"/>
        <v>53.298597807500002</v>
      </c>
      <c r="BF82" s="14">
        <f t="shared" si="43"/>
        <v>28.700206413499998</v>
      </c>
      <c r="BH82" t="str">
        <f t="shared" si="44"/>
        <v>85</v>
      </c>
      <c r="BI82">
        <f t="shared" si="45"/>
        <v>0</v>
      </c>
      <c r="BJ82">
        <f t="shared" si="46"/>
        <v>0</v>
      </c>
      <c r="BK82" s="15">
        <f t="shared" si="47"/>
        <v>100</v>
      </c>
      <c r="BL82" s="15">
        <f t="shared" si="48"/>
        <v>100</v>
      </c>
      <c r="BM82" s="15">
        <f t="shared" si="49"/>
        <v>25</v>
      </c>
      <c r="BN82" s="15">
        <f t="shared" si="50"/>
        <v>25</v>
      </c>
      <c r="BO82">
        <f t="shared" si="51"/>
        <v>100</v>
      </c>
      <c r="BP82" s="15">
        <f t="shared" si="52"/>
        <v>40</v>
      </c>
      <c r="BQ82" s="15">
        <f t="shared" si="53"/>
        <v>80</v>
      </c>
      <c r="BR82">
        <f t="shared" si="54"/>
        <v>20</v>
      </c>
      <c r="BS82">
        <f t="shared" si="55"/>
        <v>50</v>
      </c>
    </row>
    <row r="83" spans="1:71" x14ac:dyDescent="0.25">
      <c r="A83">
        <v>82</v>
      </c>
      <c r="B83" t="s">
        <v>269</v>
      </c>
      <c r="C83" t="s">
        <v>40</v>
      </c>
      <c r="D83" s="1" t="d">
        <v>2018-09-05T05:29:22.99999994225800350</v>
      </c>
      <c r="E83" s="1" t="d">
        <v>2018-09-05T05:59:01.00000003818422850</v>
      </c>
      <c r="F83" t="s">
        <v>270</v>
      </c>
      <c r="G83">
        <v>3</v>
      </c>
      <c r="H83">
        <v>1</v>
      </c>
      <c r="I83">
        <v>1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4</v>
      </c>
      <c r="Q83">
        <v>4</v>
      </c>
      <c r="R83">
        <v>4</v>
      </c>
      <c r="S83">
        <v>5</v>
      </c>
      <c r="T83">
        <v>5</v>
      </c>
      <c r="U83" s="1" t="d">
        <v>2019-02-06T06:17:49.99999992549419175</v>
      </c>
      <c r="V83" s="1" t="d">
        <v>2019-02-06T06:48:25.00000014435499800</v>
      </c>
      <c r="W83" t="s">
        <v>271</v>
      </c>
      <c r="X83">
        <v>3</v>
      </c>
      <c r="Y83">
        <v>1</v>
      </c>
      <c r="Z83">
        <v>1</v>
      </c>
      <c r="AA83">
        <v>3</v>
      </c>
      <c r="AB83">
        <v>4</v>
      </c>
      <c r="AC83">
        <v>3</v>
      </c>
      <c r="AD83">
        <v>3</v>
      </c>
      <c r="AE83">
        <v>2</v>
      </c>
      <c r="AF83">
        <v>5</v>
      </c>
      <c r="AG83">
        <v>5</v>
      </c>
      <c r="AH83">
        <v>3</v>
      </c>
      <c r="AI83">
        <v>4</v>
      </c>
      <c r="AJ83">
        <v>4</v>
      </c>
      <c r="AK83">
        <v>5</v>
      </c>
      <c r="AM83" t="str">
        <f t="shared" si="28"/>
        <v>60</v>
      </c>
      <c r="AN83">
        <f t="shared" si="29"/>
        <v>0</v>
      </c>
      <c r="AO83">
        <f t="shared" si="30"/>
        <v>0</v>
      </c>
      <c r="AP83" s="15">
        <f t="shared" si="31"/>
        <v>50</v>
      </c>
      <c r="AQ83" s="15">
        <f t="shared" si="32"/>
        <v>50</v>
      </c>
      <c r="AR83" s="15">
        <f t="shared" si="33"/>
        <v>50</v>
      </c>
      <c r="AS83" s="15">
        <f t="shared" si="34"/>
        <v>50</v>
      </c>
      <c r="AT83">
        <f t="shared" si="35"/>
        <v>50</v>
      </c>
      <c r="AU83" s="15">
        <f t="shared" si="36"/>
        <v>60</v>
      </c>
      <c r="AV83" s="15">
        <f t="shared" si="37"/>
        <v>40</v>
      </c>
      <c r="AW83">
        <f t="shared" si="38"/>
        <v>60</v>
      </c>
      <c r="AX83">
        <f t="shared" si="39"/>
        <v>75</v>
      </c>
      <c r="BB83" s="14">
        <f t="shared" si="40"/>
        <v>31.0380145735</v>
      </c>
      <c r="BC83" s="14">
        <f t="shared" si="41"/>
        <v>45.722497217499992</v>
      </c>
      <c r="BE83" s="14">
        <f t="shared" si="42"/>
        <v>34.697877151500002</v>
      </c>
      <c r="BF83" s="14">
        <f t="shared" si="43"/>
        <v>36.977058162499993</v>
      </c>
      <c r="BH83" t="str">
        <f t="shared" si="44"/>
        <v>60</v>
      </c>
      <c r="BI83">
        <f t="shared" si="45"/>
        <v>0</v>
      </c>
      <c r="BJ83">
        <f t="shared" si="46"/>
        <v>0</v>
      </c>
      <c r="BK83" s="15">
        <f t="shared" si="47"/>
        <v>50</v>
      </c>
      <c r="BL83" s="15">
        <f t="shared" si="48"/>
        <v>25</v>
      </c>
      <c r="BM83" s="15">
        <f t="shared" si="49"/>
        <v>50</v>
      </c>
      <c r="BN83" s="15">
        <f t="shared" si="50"/>
        <v>50</v>
      </c>
      <c r="BO83">
        <f t="shared" si="51"/>
        <v>75</v>
      </c>
      <c r="BP83" s="15">
        <f t="shared" si="52"/>
        <v>20</v>
      </c>
      <c r="BQ83" s="15">
        <f t="shared" si="53"/>
        <v>20</v>
      </c>
      <c r="BR83">
        <f t="shared" si="54"/>
        <v>40</v>
      </c>
      <c r="BS83">
        <f t="shared" si="55"/>
        <v>75</v>
      </c>
    </row>
    <row r="84" spans="1:71" x14ac:dyDescent="0.25">
      <c r="A84">
        <v>83</v>
      </c>
      <c r="B84" t="s">
        <v>272</v>
      </c>
      <c r="C84" t="s">
        <v>40</v>
      </c>
      <c r="D84" s="1" t="d">
        <v>2018-09-05T08:50:09.00000014808028875</v>
      </c>
      <c r="E84" s="1" t="d">
        <v>2018-09-05T11:34:44.99999977648258200</v>
      </c>
      <c r="F84" t="s">
        <v>273</v>
      </c>
      <c r="G84">
        <v>3</v>
      </c>
      <c r="H84">
        <v>2</v>
      </c>
      <c r="I84">
        <v>2</v>
      </c>
      <c r="J84">
        <v>3</v>
      </c>
      <c r="K84">
        <v>3</v>
      </c>
      <c r="L84">
        <v>2</v>
      </c>
      <c r="M84">
        <v>2</v>
      </c>
      <c r="N84">
        <v>4</v>
      </c>
      <c r="O84">
        <v>1</v>
      </c>
      <c r="P84">
        <v>2</v>
      </c>
      <c r="Q84">
        <v>4</v>
      </c>
      <c r="R84">
        <v>5</v>
      </c>
      <c r="S84">
        <v>2</v>
      </c>
      <c r="T84">
        <v>2</v>
      </c>
      <c r="AM84" t="str">
        <f t="shared" si="28"/>
        <v>60</v>
      </c>
      <c r="AN84">
        <f t="shared" si="29"/>
        <v>50</v>
      </c>
      <c r="AO84">
        <f t="shared" si="30"/>
        <v>50</v>
      </c>
      <c r="AP84" s="15">
        <f t="shared" si="31"/>
        <v>50</v>
      </c>
      <c r="AQ84" s="15">
        <f t="shared" si="32"/>
        <v>50</v>
      </c>
      <c r="AR84" s="15">
        <f t="shared" si="33"/>
        <v>75</v>
      </c>
      <c r="AS84" s="15">
        <f t="shared" si="34"/>
        <v>75</v>
      </c>
      <c r="AT84">
        <f t="shared" si="35"/>
        <v>25</v>
      </c>
      <c r="AU84" s="15">
        <f t="shared" si="36"/>
        <v>100</v>
      </c>
      <c r="AV84" s="15">
        <f t="shared" si="37"/>
        <v>80</v>
      </c>
      <c r="AW84">
        <f t="shared" si="38"/>
        <v>60</v>
      </c>
      <c r="AX84">
        <f t="shared" si="39"/>
        <v>100</v>
      </c>
      <c r="BB84" s="14">
        <f t="shared" si="40"/>
        <v>32.054494994999999</v>
      </c>
      <c r="BC84" s="14">
        <f t="shared" si="41"/>
        <v>58.034714503499991</v>
      </c>
      <c r="BK84" s="15"/>
      <c r="BL84" s="15"/>
      <c r="BM84" s="15"/>
      <c r="BN84" s="15"/>
      <c r="BP84" s="15"/>
      <c r="BQ84" s="15"/>
    </row>
    <row r="85" spans="1:71" x14ac:dyDescent="0.25">
      <c r="A85">
        <v>84</v>
      </c>
      <c r="B85" t="s">
        <v>274</v>
      </c>
      <c r="C85" t="s">
        <v>40</v>
      </c>
      <c r="D85" s="1" t="d">
        <v>2018-09-14T08:16:27.99999982584267600</v>
      </c>
      <c r="E85" s="1" t="d">
        <v>2018-09-14T09:11:32.000000202096998550</v>
      </c>
      <c r="F85" t="s">
        <v>275</v>
      </c>
      <c r="G85">
        <v>2</v>
      </c>
      <c r="H85">
        <v>3</v>
      </c>
      <c r="I85">
        <v>2</v>
      </c>
      <c r="J85">
        <v>3</v>
      </c>
      <c r="K85">
        <v>3</v>
      </c>
      <c r="L85">
        <v>4</v>
      </c>
      <c r="M85">
        <v>4</v>
      </c>
      <c r="N85">
        <v>4</v>
      </c>
      <c r="O85">
        <v>2</v>
      </c>
      <c r="P85">
        <v>2</v>
      </c>
      <c r="Q85">
        <v>5</v>
      </c>
      <c r="R85">
        <v>5</v>
      </c>
      <c r="S85">
        <v>3</v>
      </c>
      <c r="T85">
        <v>3</v>
      </c>
      <c r="U85" s="1" t="d">
        <v>2019-02-21T12:03:15.99999992642551950</v>
      </c>
      <c r="V85" s="1" t="d">
        <v>2019-02-21T12:48:04.00000026449560950</v>
      </c>
      <c r="W85" t="s">
        <v>276</v>
      </c>
      <c r="X85">
        <v>3</v>
      </c>
      <c r="Y85">
        <v>2</v>
      </c>
      <c r="Z85">
        <v>1</v>
      </c>
      <c r="AA85">
        <v>3</v>
      </c>
      <c r="AB85">
        <v>3</v>
      </c>
      <c r="AC85">
        <v>3</v>
      </c>
      <c r="AD85">
        <v>2</v>
      </c>
      <c r="AE85">
        <v>2</v>
      </c>
      <c r="AF85">
        <v>5</v>
      </c>
      <c r="AG85">
        <v>4</v>
      </c>
      <c r="AH85">
        <v>3</v>
      </c>
      <c r="AI85">
        <v>3</v>
      </c>
      <c r="AJ85">
        <v>4</v>
      </c>
      <c r="AK85">
        <v>5</v>
      </c>
      <c r="AM85" t="str">
        <f t="shared" si="28"/>
        <v>85</v>
      </c>
      <c r="AN85">
        <f t="shared" si="29"/>
        <v>100</v>
      </c>
      <c r="AO85">
        <f t="shared" si="30"/>
        <v>50</v>
      </c>
      <c r="AP85" s="15">
        <f t="shared" si="31"/>
        <v>50</v>
      </c>
      <c r="AQ85" s="15">
        <f t="shared" si="32"/>
        <v>50</v>
      </c>
      <c r="AR85" s="15">
        <f t="shared" si="33"/>
        <v>25</v>
      </c>
      <c r="AS85" s="15">
        <f t="shared" si="34"/>
        <v>25</v>
      </c>
      <c r="AT85">
        <f t="shared" si="35"/>
        <v>25</v>
      </c>
      <c r="AU85" s="15">
        <f t="shared" si="36"/>
        <v>80</v>
      </c>
      <c r="AV85" s="15">
        <f t="shared" si="37"/>
        <v>80</v>
      </c>
      <c r="AW85">
        <f t="shared" si="38"/>
        <v>80</v>
      </c>
      <c r="AX85">
        <f t="shared" si="39"/>
        <v>100</v>
      </c>
      <c r="BB85" s="14">
        <f t="shared" si="40"/>
        <v>41.538354522500001</v>
      </c>
      <c r="BC85" s="14">
        <f t="shared" si="41"/>
        <v>46.658369233499997</v>
      </c>
      <c r="BE85" s="14">
        <f t="shared" si="42"/>
        <v>39.482345035999998</v>
      </c>
      <c r="BF85" s="14">
        <f t="shared" si="43"/>
        <v>35.281835669499998</v>
      </c>
      <c r="BH85" t="str">
        <f t="shared" si="44"/>
        <v>60</v>
      </c>
      <c r="BI85">
        <f t="shared" si="45"/>
        <v>50</v>
      </c>
      <c r="BJ85">
        <f t="shared" si="46"/>
        <v>0</v>
      </c>
      <c r="BK85" s="15">
        <f t="shared" si="47"/>
        <v>50</v>
      </c>
      <c r="BL85" s="15">
        <f t="shared" si="48"/>
        <v>50</v>
      </c>
      <c r="BM85" s="15">
        <f t="shared" si="49"/>
        <v>50</v>
      </c>
      <c r="BN85" s="15">
        <f t="shared" si="50"/>
        <v>75</v>
      </c>
      <c r="BO85">
        <f t="shared" si="51"/>
        <v>75</v>
      </c>
      <c r="BP85" s="15">
        <f t="shared" si="52"/>
        <v>20</v>
      </c>
      <c r="BQ85" s="15">
        <f t="shared" si="53"/>
        <v>40</v>
      </c>
      <c r="BR85">
        <f t="shared" si="54"/>
        <v>40</v>
      </c>
      <c r="BS85">
        <f t="shared" si="55"/>
        <v>50</v>
      </c>
    </row>
    <row r="86" spans="1:71" x14ac:dyDescent="0.25">
      <c r="A86">
        <v>85</v>
      </c>
      <c r="B86" t="s">
        <v>277</v>
      </c>
      <c r="C86" t="s">
        <v>40</v>
      </c>
      <c r="D86" s="1" t="d">
        <v>2018-09-19T10:32:42.00000015087425850</v>
      </c>
      <c r="E86" s="1" t="d">
        <v>2018-09-19T11:21:49.00000005494803350</v>
      </c>
      <c r="F86" t="s">
        <v>278</v>
      </c>
      <c r="G86">
        <v>2</v>
      </c>
      <c r="H86">
        <v>2</v>
      </c>
      <c r="I86">
        <v>2</v>
      </c>
      <c r="J86">
        <v>3</v>
      </c>
      <c r="K86">
        <v>4</v>
      </c>
      <c r="L86">
        <v>4</v>
      </c>
      <c r="M86">
        <v>4</v>
      </c>
      <c r="N86">
        <v>3</v>
      </c>
      <c r="O86">
        <v>3</v>
      </c>
      <c r="P86">
        <v>2</v>
      </c>
      <c r="Q86">
        <v>5</v>
      </c>
      <c r="R86">
        <v>4</v>
      </c>
      <c r="S86">
        <v>3</v>
      </c>
      <c r="T86">
        <v>2</v>
      </c>
      <c r="U86" s="1" t="d">
        <v>2019-03-03T13:06:05.99999985191971125</v>
      </c>
      <c r="V86" s="1" t="d">
        <v>2019-03-03T13:55:44.0000000875443225</v>
      </c>
      <c r="W86" t="s">
        <v>279</v>
      </c>
      <c r="X86">
        <v>3</v>
      </c>
      <c r="Y86">
        <v>2</v>
      </c>
      <c r="Z86">
        <v>3</v>
      </c>
      <c r="AA86">
        <v>3</v>
      </c>
      <c r="AB86">
        <v>4</v>
      </c>
      <c r="AC86">
        <v>3</v>
      </c>
      <c r="AD86">
        <v>3</v>
      </c>
      <c r="AE86">
        <v>4</v>
      </c>
      <c r="AF86">
        <v>3</v>
      </c>
      <c r="AG86">
        <v>2</v>
      </c>
      <c r="AH86">
        <v>4</v>
      </c>
      <c r="AI86">
        <v>4</v>
      </c>
      <c r="AJ86">
        <v>4</v>
      </c>
      <c r="AK86">
        <v>3</v>
      </c>
      <c r="AM86" t="str">
        <f t="shared" si="28"/>
        <v>85</v>
      </c>
      <c r="AN86">
        <f t="shared" si="29"/>
        <v>50</v>
      </c>
      <c r="AO86">
        <f t="shared" si="30"/>
        <v>50</v>
      </c>
      <c r="AP86" s="15">
        <f t="shared" si="31"/>
        <v>50</v>
      </c>
      <c r="AQ86" s="15">
        <f t="shared" si="32"/>
        <v>25</v>
      </c>
      <c r="AR86" s="15">
        <f t="shared" si="33"/>
        <v>25</v>
      </c>
      <c r="AS86" s="15">
        <f t="shared" si="34"/>
        <v>25</v>
      </c>
      <c r="AT86">
        <f t="shared" si="35"/>
        <v>50</v>
      </c>
      <c r="AU86" s="15">
        <f t="shared" si="36"/>
        <v>60</v>
      </c>
      <c r="AV86" s="15">
        <f t="shared" si="37"/>
        <v>80</v>
      </c>
      <c r="AW86">
        <f t="shared" si="38"/>
        <v>80</v>
      </c>
      <c r="AX86">
        <f t="shared" si="39"/>
        <v>75</v>
      </c>
      <c r="BB86" s="14">
        <f t="shared" si="40"/>
        <v>40.513668484999997</v>
      </c>
      <c r="BC86" s="14">
        <f t="shared" si="41"/>
        <v>43.537817234999999</v>
      </c>
      <c r="BE86" s="14">
        <f t="shared" si="42"/>
        <v>37.770360987499998</v>
      </c>
      <c r="BF86" s="14">
        <f t="shared" si="43"/>
        <v>44.792526046499994</v>
      </c>
      <c r="BH86" t="str">
        <f t="shared" si="44"/>
        <v>60</v>
      </c>
      <c r="BI86">
        <f t="shared" si="45"/>
        <v>50</v>
      </c>
      <c r="BJ86">
        <f t="shared" si="46"/>
        <v>100</v>
      </c>
      <c r="BK86" s="15">
        <f t="shared" si="47"/>
        <v>50</v>
      </c>
      <c r="BL86" s="15">
        <f t="shared" si="48"/>
        <v>25</v>
      </c>
      <c r="BM86" s="15">
        <f t="shared" si="49"/>
        <v>50</v>
      </c>
      <c r="BN86" s="15">
        <f t="shared" si="50"/>
        <v>50</v>
      </c>
      <c r="BO86">
        <f t="shared" si="51"/>
        <v>25</v>
      </c>
      <c r="BP86" s="15">
        <f t="shared" si="52"/>
        <v>60</v>
      </c>
      <c r="BQ86" s="15">
        <f t="shared" si="53"/>
        <v>80</v>
      </c>
      <c r="BR86">
        <f t="shared" si="54"/>
        <v>60</v>
      </c>
      <c r="BS86">
        <f t="shared" si="55"/>
        <v>75</v>
      </c>
    </row>
    <row r="87" spans="1:71" x14ac:dyDescent="0.25">
      <c r="A87">
        <v>86</v>
      </c>
      <c r="B87" t="s">
        <v>280</v>
      </c>
      <c r="C87" t="s">
        <v>40</v>
      </c>
      <c r="D87" s="1" t="d">
        <v>2018-10-09T11:58:46.00000030361115900</v>
      </c>
      <c r="E87" s="1" t="d">
        <v>2018-10-09T12:26:51.0000000335276100</v>
      </c>
      <c r="F87" t="s">
        <v>281</v>
      </c>
      <c r="G87">
        <v>2</v>
      </c>
      <c r="H87">
        <v>2</v>
      </c>
      <c r="I87">
        <v>2</v>
      </c>
      <c r="J87">
        <v>3</v>
      </c>
      <c r="K87">
        <v>3</v>
      </c>
      <c r="L87">
        <v>4</v>
      </c>
      <c r="M87">
        <v>4</v>
      </c>
      <c r="N87">
        <v>3</v>
      </c>
      <c r="O87">
        <v>3</v>
      </c>
      <c r="P87">
        <v>2</v>
      </c>
      <c r="Q87">
        <v>4</v>
      </c>
      <c r="R87">
        <v>4</v>
      </c>
      <c r="S87">
        <v>3</v>
      </c>
      <c r="T87">
        <v>4</v>
      </c>
      <c r="U87" s="1" t="d">
        <v>2019-03-14T00:00:17.000000202096998550</v>
      </c>
      <c r="V87" s="1" t="d">
        <v>2019-03-14T00:23:38.00000017974525675</v>
      </c>
      <c r="W87" t="s">
        <v>282</v>
      </c>
      <c r="X87">
        <v>2</v>
      </c>
      <c r="Y87">
        <v>2</v>
      </c>
      <c r="Z87">
        <v>2</v>
      </c>
      <c r="AA87">
        <v>2</v>
      </c>
      <c r="AB87">
        <v>2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  <c r="AI87">
        <v>3</v>
      </c>
      <c r="AJ87">
        <v>3</v>
      </c>
      <c r="AK87">
        <v>4</v>
      </c>
      <c r="AM87" t="str">
        <f t="shared" si="28"/>
        <v>85</v>
      </c>
      <c r="AN87">
        <f t="shared" si="29"/>
        <v>50</v>
      </c>
      <c r="AO87">
        <f t="shared" si="30"/>
        <v>50</v>
      </c>
      <c r="AP87" s="15">
        <f t="shared" si="31"/>
        <v>50</v>
      </c>
      <c r="AQ87" s="15">
        <f t="shared" si="32"/>
        <v>50</v>
      </c>
      <c r="AR87" s="15">
        <f t="shared" si="33"/>
        <v>25</v>
      </c>
      <c r="AS87" s="15">
        <f t="shared" si="34"/>
        <v>25</v>
      </c>
      <c r="AT87">
        <f t="shared" si="35"/>
        <v>50</v>
      </c>
      <c r="AU87" s="15">
        <f t="shared" si="36"/>
        <v>60</v>
      </c>
      <c r="AV87" s="15">
        <f t="shared" si="37"/>
        <v>80</v>
      </c>
      <c r="AW87">
        <f t="shared" si="38"/>
        <v>60</v>
      </c>
      <c r="AX87">
        <f t="shared" si="39"/>
        <v>75</v>
      </c>
      <c r="BB87" s="14">
        <f t="shared" si="40"/>
        <v>43.434769930000002</v>
      </c>
      <c r="BC87" s="14">
        <f t="shared" si="41"/>
        <v>39.933933618999994</v>
      </c>
      <c r="BE87" s="14">
        <f t="shared" si="42"/>
        <v>45.187015865500001</v>
      </c>
      <c r="BF87" s="14">
        <f t="shared" si="43"/>
        <v>36.786795260999995</v>
      </c>
      <c r="BH87" t="str">
        <f t="shared" si="44"/>
        <v>85</v>
      </c>
      <c r="BI87">
        <f t="shared" si="45"/>
        <v>50</v>
      </c>
      <c r="BJ87">
        <f t="shared" si="46"/>
        <v>50</v>
      </c>
      <c r="BK87" s="15">
        <f t="shared" si="47"/>
        <v>75</v>
      </c>
      <c r="BL87" s="15">
        <f t="shared" si="48"/>
        <v>75</v>
      </c>
      <c r="BM87" s="15">
        <f t="shared" si="49"/>
        <v>50</v>
      </c>
      <c r="BN87" s="15">
        <f t="shared" si="50"/>
        <v>50</v>
      </c>
      <c r="BO87">
        <f t="shared" si="51"/>
        <v>50</v>
      </c>
      <c r="BP87" s="15">
        <f t="shared" si="52"/>
        <v>60</v>
      </c>
      <c r="BQ87" s="15">
        <f t="shared" si="53"/>
        <v>60</v>
      </c>
      <c r="BR87">
        <f t="shared" si="54"/>
        <v>40</v>
      </c>
      <c r="BS87">
        <f t="shared" si="55"/>
        <v>50</v>
      </c>
    </row>
    <row r="88" spans="1:71" x14ac:dyDescent="0.25">
      <c r="A88">
        <v>87</v>
      </c>
      <c r="B88" t="s">
        <v>283</v>
      </c>
      <c r="C88" t="s">
        <v>111</v>
      </c>
      <c r="D88" s="1" t="d">
        <v>2018-09-21T11:55:43.00000027287751200</v>
      </c>
      <c r="E88" s="1" t="d">
        <v>2018-09-21T12:35:10.99999998696148575</v>
      </c>
      <c r="F88" t="s">
        <v>284</v>
      </c>
      <c r="G88">
        <v>3</v>
      </c>
      <c r="H88">
        <v>3</v>
      </c>
      <c r="I88">
        <v>3</v>
      </c>
      <c r="J88">
        <v>4</v>
      </c>
      <c r="K88">
        <v>5</v>
      </c>
      <c r="L88">
        <v>4</v>
      </c>
      <c r="M88">
        <v>3</v>
      </c>
      <c r="N88">
        <v>5</v>
      </c>
      <c r="O88">
        <v>1</v>
      </c>
      <c r="P88">
        <v>2</v>
      </c>
      <c r="Q88">
        <v>5</v>
      </c>
      <c r="R88">
        <v>5</v>
      </c>
      <c r="S88">
        <v>1</v>
      </c>
      <c r="T88">
        <v>3</v>
      </c>
      <c r="U88" s="1" t="d">
        <v>2019-03-01T06:52:19.00000015273690050</v>
      </c>
      <c r="V88" s="1" t="d">
        <v>2019-03-01T07:15:21.99999969452619225</v>
      </c>
      <c r="W88" t="s">
        <v>285</v>
      </c>
      <c r="X88">
        <v>3</v>
      </c>
      <c r="Y88">
        <v>3</v>
      </c>
      <c r="Z88">
        <v>2</v>
      </c>
      <c r="AA88">
        <v>5</v>
      </c>
      <c r="AB88">
        <v>5</v>
      </c>
      <c r="AC88">
        <v>5</v>
      </c>
      <c r="AD88">
        <v>3</v>
      </c>
      <c r="AE88">
        <v>5</v>
      </c>
      <c r="AF88">
        <v>2</v>
      </c>
      <c r="AG88">
        <v>1</v>
      </c>
      <c r="AH88">
        <v>3</v>
      </c>
      <c r="AI88">
        <v>5</v>
      </c>
      <c r="AJ88">
        <v>2</v>
      </c>
      <c r="AK88">
        <v>3</v>
      </c>
      <c r="AM88" t="str">
        <f t="shared" si="28"/>
        <v>60</v>
      </c>
      <c r="AN88">
        <f t="shared" si="29"/>
        <v>100</v>
      </c>
      <c r="AO88">
        <f t="shared" si="30"/>
        <v>100</v>
      </c>
      <c r="AP88" s="15">
        <f t="shared" si="31"/>
        <v>25</v>
      </c>
      <c r="AQ88" s="15">
        <f t="shared" si="32"/>
        <v>0</v>
      </c>
      <c r="AR88" s="15">
        <f t="shared" si="33"/>
        <v>25</v>
      </c>
      <c r="AS88" s="15">
        <f t="shared" si="34"/>
        <v>50</v>
      </c>
      <c r="AT88">
        <f t="shared" si="35"/>
        <v>0</v>
      </c>
      <c r="AU88" s="15">
        <f t="shared" si="36"/>
        <v>100</v>
      </c>
      <c r="AV88" s="15">
        <f t="shared" si="37"/>
        <v>80</v>
      </c>
      <c r="AW88">
        <f t="shared" si="38"/>
        <v>80</v>
      </c>
      <c r="AX88">
        <f t="shared" si="39"/>
        <v>100</v>
      </c>
      <c r="BB88" s="14">
        <f t="shared" si="40"/>
        <v>32.81936563</v>
      </c>
      <c r="BC88" s="14">
        <f t="shared" si="41"/>
        <v>51.783622411999993</v>
      </c>
      <c r="BE88" s="14">
        <f t="shared" si="42"/>
        <v>32.307182161999997</v>
      </c>
      <c r="BF88" s="14">
        <f t="shared" si="43"/>
        <v>44.049881370999998</v>
      </c>
      <c r="BH88" t="str">
        <f t="shared" si="44"/>
        <v>60</v>
      </c>
      <c r="BI88">
        <f t="shared" si="45"/>
        <v>100</v>
      </c>
      <c r="BJ88">
        <f t="shared" si="46"/>
        <v>50</v>
      </c>
      <c r="BK88" s="15">
        <f t="shared" si="47"/>
        <v>0</v>
      </c>
      <c r="BL88" s="15">
        <f t="shared" si="48"/>
        <v>0</v>
      </c>
      <c r="BM88" s="15">
        <f t="shared" si="49"/>
        <v>0</v>
      </c>
      <c r="BN88" s="15">
        <f t="shared" si="50"/>
        <v>50</v>
      </c>
      <c r="BO88">
        <f t="shared" si="51"/>
        <v>0</v>
      </c>
      <c r="BP88" s="15">
        <f t="shared" si="52"/>
        <v>80</v>
      </c>
      <c r="BQ88" s="15">
        <f t="shared" si="53"/>
        <v>100</v>
      </c>
      <c r="BR88">
        <f t="shared" si="54"/>
        <v>40</v>
      </c>
      <c r="BS88">
        <f t="shared" si="55"/>
        <v>100</v>
      </c>
    </row>
    <row r="89" spans="1:71" x14ac:dyDescent="0.25">
      <c r="A89">
        <v>88</v>
      </c>
      <c r="B89" t="s">
        <v>286</v>
      </c>
      <c r="C89" t="s">
        <v>111</v>
      </c>
      <c r="D89" s="1" t="d">
        <v>2018-09-14T09:24:56.99999978765845425</v>
      </c>
      <c r="E89" s="1" t="d">
        <v>2018-09-14T09:54:47.99999977927655175</v>
      </c>
      <c r="F89" t="s">
        <v>287</v>
      </c>
      <c r="G89">
        <v>4</v>
      </c>
      <c r="H89">
        <v>1</v>
      </c>
      <c r="I89">
        <v>1</v>
      </c>
      <c r="J89">
        <v>3</v>
      </c>
      <c r="K89">
        <v>3</v>
      </c>
      <c r="L89">
        <v>4</v>
      </c>
      <c r="M89">
        <v>4</v>
      </c>
      <c r="N89">
        <v>3</v>
      </c>
      <c r="O89">
        <v>3</v>
      </c>
      <c r="P89">
        <v>3</v>
      </c>
      <c r="Q89">
        <v>3</v>
      </c>
      <c r="R89">
        <v>3</v>
      </c>
      <c r="S89">
        <v>2</v>
      </c>
      <c r="T89">
        <v>1</v>
      </c>
      <c r="U89" s="1" t="d">
        <v>2019-02-11T09:01:03.000000268220901600</v>
      </c>
      <c r="V89" s="1" t="d">
        <v>2019-02-11T09:14:48.00000012852251400</v>
      </c>
      <c r="W89" t="s">
        <v>288</v>
      </c>
      <c r="X89">
        <v>3</v>
      </c>
      <c r="Y89">
        <v>2</v>
      </c>
      <c r="Z89">
        <v>2</v>
      </c>
      <c r="AA89">
        <v>3</v>
      </c>
      <c r="AB89">
        <v>3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3</v>
      </c>
      <c r="AI89">
        <v>3</v>
      </c>
      <c r="AJ89">
        <v>3</v>
      </c>
      <c r="AK89">
        <v>3</v>
      </c>
      <c r="AM89" t="str">
        <f t="shared" si="28"/>
        <v>35</v>
      </c>
      <c r="AN89">
        <f t="shared" si="29"/>
        <v>0</v>
      </c>
      <c r="AO89">
        <f t="shared" si="30"/>
        <v>0</v>
      </c>
      <c r="AP89" s="15">
        <f t="shared" si="31"/>
        <v>50</v>
      </c>
      <c r="AQ89" s="15">
        <f t="shared" si="32"/>
        <v>50</v>
      </c>
      <c r="AR89" s="15">
        <f t="shared" si="33"/>
        <v>25</v>
      </c>
      <c r="AS89" s="15">
        <f t="shared" si="34"/>
        <v>25</v>
      </c>
      <c r="AT89">
        <f t="shared" si="35"/>
        <v>50</v>
      </c>
      <c r="AU89" s="15">
        <f t="shared" si="36"/>
        <v>60</v>
      </c>
      <c r="AV89" s="15">
        <f t="shared" si="37"/>
        <v>60</v>
      </c>
      <c r="AW89">
        <f t="shared" si="38"/>
        <v>40</v>
      </c>
      <c r="AX89">
        <f t="shared" si="39"/>
        <v>50</v>
      </c>
      <c r="BB89" s="14">
        <f t="shared" si="40"/>
        <v>32.8797705705</v>
      </c>
      <c r="BC89" s="14">
        <f t="shared" si="41"/>
        <v>36.243062833499998</v>
      </c>
      <c r="BE89" s="14">
        <f t="shared" si="42"/>
        <v>39.584407243000001</v>
      </c>
      <c r="BF89" s="14">
        <f t="shared" si="43"/>
        <v>38.055336585999996</v>
      </c>
      <c r="BH89" t="str">
        <f t="shared" si="44"/>
        <v>60</v>
      </c>
      <c r="BI89">
        <f t="shared" si="45"/>
        <v>50</v>
      </c>
      <c r="BJ89">
        <f t="shared" si="46"/>
        <v>50</v>
      </c>
      <c r="BK89" s="15">
        <f t="shared" si="47"/>
        <v>50</v>
      </c>
      <c r="BL89" s="15">
        <f t="shared" si="48"/>
        <v>50</v>
      </c>
      <c r="BM89" s="15">
        <f t="shared" si="49"/>
        <v>50</v>
      </c>
      <c r="BN89" s="15">
        <f t="shared" si="50"/>
        <v>50</v>
      </c>
      <c r="BO89">
        <f t="shared" si="51"/>
        <v>50</v>
      </c>
      <c r="BP89" s="15">
        <f t="shared" si="52"/>
        <v>60</v>
      </c>
      <c r="BQ89" s="15">
        <f t="shared" si="53"/>
        <v>60</v>
      </c>
      <c r="BR89">
        <f t="shared" si="54"/>
        <v>40</v>
      </c>
      <c r="BS89">
        <f t="shared" si="55"/>
        <v>50</v>
      </c>
    </row>
    <row r="90" spans="1:71" x14ac:dyDescent="0.25">
      <c r="A90">
        <v>89</v>
      </c>
      <c r="B90" t="s">
        <v>289</v>
      </c>
      <c r="C90" t="s">
        <v>111</v>
      </c>
      <c r="D90" s="1" t="d">
        <v>2018-10-19T09:07:54.00000016205013075</v>
      </c>
      <c r="E90" s="1" t="d">
        <v>2018-10-19T10:38:51.00000028498470525</v>
      </c>
      <c r="F90" t="s">
        <v>290</v>
      </c>
      <c r="G90">
        <v>3</v>
      </c>
      <c r="H90">
        <v>2</v>
      </c>
      <c r="I90">
        <v>2</v>
      </c>
      <c r="J90">
        <v>3</v>
      </c>
      <c r="K90">
        <v>3</v>
      </c>
      <c r="L90">
        <v>4</v>
      </c>
      <c r="M90">
        <v>4</v>
      </c>
      <c r="N90">
        <v>4</v>
      </c>
      <c r="O90">
        <v>3</v>
      </c>
      <c r="P90">
        <v>2</v>
      </c>
      <c r="Q90">
        <v>3</v>
      </c>
      <c r="R90">
        <v>4</v>
      </c>
      <c r="S90">
        <v>3</v>
      </c>
      <c r="T90">
        <v>2</v>
      </c>
      <c r="U90" s="1" t="d">
        <v>2019-03-04T22:16:16.99999997857958325</v>
      </c>
      <c r="V90" s="1" t="d">
        <v>2019-03-04T22:53:46.00000016391277275</v>
      </c>
      <c r="W90" t="s">
        <v>291</v>
      </c>
      <c r="X90">
        <v>3</v>
      </c>
      <c r="Y90">
        <v>2</v>
      </c>
      <c r="Z90">
        <v>2</v>
      </c>
      <c r="AA90">
        <v>3</v>
      </c>
      <c r="AB90">
        <v>3</v>
      </c>
      <c r="AC90">
        <v>2</v>
      </c>
      <c r="AD90">
        <v>2</v>
      </c>
      <c r="AE90">
        <v>4</v>
      </c>
      <c r="AF90">
        <v>3</v>
      </c>
      <c r="AG90">
        <v>3</v>
      </c>
      <c r="AH90">
        <v>4</v>
      </c>
      <c r="AI90">
        <v>4</v>
      </c>
      <c r="AJ90">
        <v>2</v>
      </c>
      <c r="AK90">
        <v>2</v>
      </c>
      <c r="AM90" t="str">
        <f t="shared" si="28"/>
        <v>60</v>
      </c>
      <c r="AN90">
        <f t="shared" si="29"/>
        <v>50</v>
      </c>
      <c r="AO90">
        <f t="shared" si="30"/>
        <v>50</v>
      </c>
      <c r="AP90" s="15">
        <f t="shared" si="31"/>
        <v>50</v>
      </c>
      <c r="AQ90" s="15">
        <f t="shared" si="32"/>
        <v>50</v>
      </c>
      <c r="AR90" s="15">
        <f t="shared" si="33"/>
        <v>25</v>
      </c>
      <c r="AS90" s="15">
        <f t="shared" si="34"/>
        <v>25</v>
      </c>
      <c r="AT90">
        <f t="shared" si="35"/>
        <v>25</v>
      </c>
      <c r="AU90" s="15">
        <f t="shared" si="36"/>
        <v>60</v>
      </c>
      <c r="AV90" s="15">
        <f t="shared" si="37"/>
        <v>80</v>
      </c>
      <c r="AW90">
        <f t="shared" si="38"/>
        <v>40</v>
      </c>
      <c r="AX90">
        <f t="shared" si="39"/>
        <v>75</v>
      </c>
      <c r="BB90" s="14">
        <f t="shared" si="40"/>
        <v>39.196335787500004</v>
      </c>
      <c r="BC90" s="14">
        <f t="shared" si="41"/>
        <v>37.578538102999993</v>
      </c>
      <c r="BE90" s="14">
        <f t="shared" si="42"/>
        <v>33.036348365500004</v>
      </c>
      <c r="BF90" s="14">
        <f t="shared" si="43"/>
        <v>49.555496021999993</v>
      </c>
      <c r="BH90" t="str">
        <f t="shared" si="44"/>
        <v>60</v>
      </c>
      <c r="BI90">
        <f t="shared" si="45"/>
        <v>50</v>
      </c>
      <c r="BJ90">
        <f t="shared" si="46"/>
        <v>50</v>
      </c>
      <c r="BK90" s="15">
        <f t="shared" si="47"/>
        <v>50</v>
      </c>
      <c r="BL90" s="15">
        <f t="shared" si="48"/>
        <v>50</v>
      </c>
      <c r="BM90" s="15">
        <f t="shared" si="49"/>
        <v>75</v>
      </c>
      <c r="BN90" s="15">
        <f t="shared" si="50"/>
        <v>75</v>
      </c>
      <c r="BO90">
        <f t="shared" si="51"/>
        <v>25</v>
      </c>
      <c r="BP90" s="15">
        <f t="shared" si="52"/>
        <v>60</v>
      </c>
      <c r="BQ90" s="15">
        <f t="shared" si="53"/>
        <v>60</v>
      </c>
      <c r="BR90">
        <f t="shared" si="54"/>
        <v>60</v>
      </c>
      <c r="BS90">
        <f t="shared" si="55"/>
        <v>75</v>
      </c>
    </row>
    <row r="91" spans="1:71" x14ac:dyDescent="0.25">
      <c r="A91">
        <v>90</v>
      </c>
      <c r="B91" t="s">
        <v>292</v>
      </c>
      <c r="C91" t="s">
        <v>40</v>
      </c>
      <c r="D91" s="1" t="d">
        <v>2018-09-12T09:04:06.999999904073775</v>
      </c>
      <c r="E91" s="1" t="d">
        <v>2018-09-14T08:35:16.99999971315264600</v>
      </c>
      <c r="F91" t="s">
        <v>293</v>
      </c>
      <c r="G91">
        <v>2</v>
      </c>
      <c r="H91">
        <v>2</v>
      </c>
      <c r="I91">
        <v>2</v>
      </c>
      <c r="J91">
        <v>3</v>
      </c>
      <c r="K91">
        <v>3</v>
      </c>
      <c r="L91">
        <v>4</v>
      </c>
      <c r="M91">
        <v>4</v>
      </c>
      <c r="N91">
        <v>3</v>
      </c>
      <c r="O91">
        <v>2</v>
      </c>
      <c r="P91">
        <v>2</v>
      </c>
      <c r="Q91">
        <v>5</v>
      </c>
      <c r="R91">
        <v>2</v>
      </c>
      <c r="S91">
        <v>2</v>
      </c>
      <c r="T91">
        <v>1</v>
      </c>
      <c r="U91" s="1" t="d">
        <v>2019-02-09T21:10:25.00000025611370700</v>
      </c>
      <c r="V91" s="1" t="d">
        <v>2019-02-09T21:52:49.99999985564500200</v>
      </c>
      <c r="W91" t="s">
        <v>294</v>
      </c>
      <c r="X91">
        <v>3</v>
      </c>
      <c r="Y91">
        <v>3</v>
      </c>
      <c r="Z91">
        <v>1</v>
      </c>
      <c r="AA91">
        <v>3</v>
      </c>
      <c r="AB91">
        <v>4</v>
      </c>
      <c r="AC91">
        <v>4</v>
      </c>
      <c r="AD91">
        <v>3</v>
      </c>
      <c r="AE91">
        <v>4</v>
      </c>
      <c r="AF91">
        <v>2</v>
      </c>
      <c r="AG91">
        <v>3</v>
      </c>
      <c r="AH91">
        <v>4</v>
      </c>
      <c r="AI91">
        <v>4</v>
      </c>
      <c r="AJ91">
        <v>4</v>
      </c>
      <c r="AK91">
        <v>4</v>
      </c>
      <c r="AM91" t="str">
        <f t="shared" si="28"/>
        <v>85</v>
      </c>
      <c r="AN91">
        <f t="shared" si="29"/>
        <v>50</v>
      </c>
      <c r="AO91">
        <f t="shared" si="30"/>
        <v>50</v>
      </c>
      <c r="AP91" s="15">
        <f t="shared" si="31"/>
        <v>50</v>
      </c>
      <c r="AQ91" s="15">
        <f t="shared" si="32"/>
        <v>50</v>
      </c>
      <c r="AR91" s="15">
        <f t="shared" si="33"/>
        <v>25</v>
      </c>
      <c r="AS91" s="15">
        <f t="shared" si="34"/>
        <v>25</v>
      </c>
      <c r="AT91">
        <f t="shared" si="35"/>
        <v>50</v>
      </c>
      <c r="AU91" s="15">
        <f t="shared" si="36"/>
        <v>80</v>
      </c>
      <c r="AV91" s="15">
        <f t="shared" si="37"/>
        <v>80</v>
      </c>
      <c r="AW91">
        <f t="shared" si="38"/>
        <v>80</v>
      </c>
      <c r="AX91">
        <f t="shared" si="39"/>
        <v>25</v>
      </c>
      <c r="BB91" s="14">
        <f t="shared" si="40"/>
        <v>41.288800774999999</v>
      </c>
      <c r="BC91" s="14">
        <f t="shared" si="41"/>
        <v>39.681009656000001</v>
      </c>
      <c r="BE91" s="14">
        <f t="shared" si="42"/>
        <v>33.532288200499998</v>
      </c>
      <c r="BF91" s="14">
        <f t="shared" si="43"/>
        <v>43.8077824955</v>
      </c>
      <c r="BH91" t="str">
        <f t="shared" si="44"/>
        <v>60</v>
      </c>
      <c r="BI91">
        <f t="shared" si="45"/>
        <v>100</v>
      </c>
      <c r="BJ91">
        <f t="shared" si="46"/>
        <v>0</v>
      </c>
      <c r="BK91" s="15">
        <f t="shared" si="47"/>
        <v>50</v>
      </c>
      <c r="BL91" s="15">
        <f t="shared" si="48"/>
        <v>25</v>
      </c>
      <c r="BM91" s="15">
        <f t="shared" si="49"/>
        <v>25</v>
      </c>
      <c r="BN91" s="15">
        <f t="shared" si="50"/>
        <v>50</v>
      </c>
      <c r="BO91">
        <f t="shared" si="51"/>
        <v>25</v>
      </c>
      <c r="BP91" s="15">
        <f t="shared" si="52"/>
        <v>80</v>
      </c>
      <c r="BQ91" s="15">
        <f t="shared" si="53"/>
        <v>60</v>
      </c>
      <c r="BR91">
        <f t="shared" si="54"/>
        <v>60</v>
      </c>
      <c r="BS91">
        <f t="shared" si="55"/>
        <v>75</v>
      </c>
    </row>
    <row r="92" spans="1:71" x14ac:dyDescent="0.25">
      <c r="A92">
        <v>91</v>
      </c>
      <c r="B92" t="s">
        <v>295</v>
      </c>
      <c r="C92" t="s">
        <v>40</v>
      </c>
      <c r="D92" s="1" t="d">
        <v>2018-10-05T07:37:41.99999987147748600</v>
      </c>
      <c r="E92" s="1" t="d">
        <v>2018-10-05T08:24:23.00000022165477600</v>
      </c>
      <c r="F92" t="s">
        <v>296</v>
      </c>
      <c r="G92">
        <v>2</v>
      </c>
      <c r="H92">
        <v>3</v>
      </c>
      <c r="I92">
        <v>3</v>
      </c>
      <c r="J92">
        <v>5</v>
      </c>
      <c r="K92">
        <v>5</v>
      </c>
      <c r="L92">
        <v>5</v>
      </c>
      <c r="M92">
        <v>5</v>
      </c>
      <c r="N92">
        <v>4</v>
      </c>
      <c r="O92">
        <v>1</v>
      </c>
      <c r="P92">
        <v>1</v>
      </c>
      <c r="Q92">
        <v>5</v>
      </c>
      <c r="R92">
        <v>5</v>
      </c>
      <c r="S92">
        <v>1</v>
      </c>
      <c r="T92">
        <v>3</v>
      </c>
      <c r="U92" s="1" t="d">
        <v>2019-02-23T17:57:08.00000002607703525</v>
      </c>
      <c r="V92" s="1" t="d">
        <v>2019-02-23T19:27:03.99999971967190650</v>
      </c>
      <c r="W92" t="s">
        <v>297</v>
      </c>
      <c r="X92">
        <v>3</v>
      </c>
      <c r="Y92">
        <v>2</v>
      </c>
      <c r="Z92">
        <v>3</v>
      </c>
      <c r="AA92">
        <v>5</v>
      </c>
      <c r="AB92">
        <v>4</v>
      </c>
      <c r="AC92">
        <v>5</v>
      </c>
      <c r="AD92">
        <v>2</v>
      </c>
      <c r="AE92">
        <v>5</v>
      </c>
      <c r="AF92">
        <v>3</v>
      </c>
      <c r="AG92">
        <v>2</v>
      </c>
      <c r="AH92">
        <v>4</v>
      </c>
      <c r="AI92">
        <v>4</v>
      </c>
      <c r="AJ92">
        <v>3</v>
      </c>
      <c r="AK92">
        <v>4</v>
      </c>
      <c r="AM92" t="str">
        <f t="shared" si="28"/>
        <v>85</v>
      </c>
      <c r="AN92">
        <f t="shared" si="29"/>
        <v>100</v>
      </c>
      <c r="AO92">
        <f t="shared" si="30"/>
        <v>100</v>
      </c>
      <c r="AP92" s="15">
        <f t="shared" si="31"/>
        <v>0</v>
      </c>
      <c r="AQ92" s="15">
        <f t="shared" si="32"/>
        <v>0</v>
      </c>
      <c r="AR92" s="15">
        <f t="shared" si="33"/>
        <v>0</v>
      </c>
      <c r="AS92" s="15">
        <f t="shared" si="34"/>
        <v>0</v>
      </c>
      <c r="AT92">
        <f t="shared" si="35"/>
        <v>25</v>
      </c>
      <c r="AU92" s="15">
        <f t="shared" si="36"/>
        <v>100</v>
      </c>
      <c r="AV92" s="15">
        <f t="shared" si="37"/>
        <v>100</v>
      </c>
      <c r="AW92">
        <f t="shared" si="38"/>
        <v>80</v>
      </c>
      <c r="AX92">
        <f t="shared" si="39"/>
        <v>100</v>
      </c>
      <c r="BB92" s="14">
        <f t="shared" si="40"/>
        <v>39.9853848395</v>
      </c>
      <c r="BC92" s="14">
        <f t="shared" si="41"/>
        <v>45.958549913999995</v>
      </c>
      <c r="BE92" s="14">
        <f t="shared" si="42"/>
        <v>32.909286307499997</v>
      </c>
      <c r="BF92" s="14">
        <f t="shared" si="43"/>
        <v>42.347989433999999</v>
      </c>
      <c r="BH92" t="str">
        <f t="shared" si="44"/>
        <v>60</v>
      </c>
      <c r="BI92">
        <f t="shared" si="45"/>
        <v>50</v>
      </c>
      <c r="BJ92">
        <f t="shared" si="46"/>
        <v>100</v>
      </c>
      <c r="BK92" s="15">
        <f t="shared" si="47"/>
        <v>0</v>
      </c>
      <c r="BL92" s="15">
        <f t="shared" si="48"/>
        <v>25</v>
      </c>
      <c r="BM92" s="15">
        <f t="shared" si="49"/>
        <v>0</v>
      </c>
      <c r="BN92" s="15">
        <f t="shared" si="50"/>
        <v>75</v>
      </c>
      <c r="BO92">
        <f t="shared" si="51"/>
        <v>0</v>
      </c>
      <c r="BP92" s="15">
        <f t="shared" si="52"/>
        <v>60</v>
      </c>
      <c r="BQ92" s="15">
        <f t="shared" si="53"/>
        <v>80</v>
      </c>
      <c r="BR92">
        <f t="shared" si="54"/>
        <v>60</v>
      </c>
      <c r="BS92">
        <f t="shared" si="55"/>
        <v>75</v>
      </c>
    </row>
    <row r="93" spans="1:71" x14ac:dyDescent="0.25">
      <c r="A93">
        <v>92</v>
      </c>
      <c r="B93" t="s">
        <v>298</v>
      </c>
      <c r="C93" t="s">
        <v>40</v>
      </c>
      <c r="D93" s="1" t="d">
        <v>2018-10-15T15:17:16.99999975506216525</v>
      </c>
      <c r="E93" s="1" t="d">
        <v>2018-10-15T15:56:54.999999920837581350</v>
      </c>
      <c r="F93" t="s">
        <v>299</v>
      </c>
      <c r="G93">
        <v>1</v>
      </c>
      <c r="H93">
        <v>2</v>
      </c>
      <c r="I93">
        <v>3</v>
      </c>
      <c r="J93">
        <v>5</v>
      </c>
      <c r="K93">
        <v>5</v>
      </c>
      <c r="L93">
        <v>5</v>
      </c>
      <c r="M93">
        <v>3</v>
      </c>
      <c r="N93">
        <v>4</v>
      </c>
      <c r="O93">
        <v>3</v>
      </c>
      <c r="P93">
        <v>1</v>
      </c>
      <c r="Q93">
        <v>6</v>
      </c>
      <c r="R93">
        <v>4</v>
      </c>
      <c r="S93">
        <v>2</v>
      </c>
      <c r="T93">
        <v>2</v>
      </c>
      <c r="U93" s="1" t="d">
        <v>2019-03-18T09:55:11.99999973177909975</v>
      </c>
      <c r="V93" s="1" t="d">
        <v>2019-03-18T10:29:48.99999994318932450</v>
      </c>
      <c r="W93" t="s">
        <v>300</v>
      </c>
      <c r="X93">
        <v>1</v>
      </c>
      <c r="Y93">
        <v>3</v>
      </c>
      <c r="Z93">
        <v>3</v>
      </c>
      <c r="AA93">
        <v>5</v>
      </c>
      <c r="AB93">
        <v>5</v>
      </c>
      <c r="AC93">
        <v>5</v>
      </c>
      <c r="AD93">
        <v>3</v>
      </c>
      <c r="AE93">
        <v>5</v>
      </c>
      <c r="AF93">
        <v>5</v>
      </c>
      <c r="AG93">
        <v>3</v>
      </c>
      <c r="AH93">
        <v>3</v>
      </c>
      <c r="AI93">
        <v>2</v>
      </c>
      <c r="AJ93">
        <v>1</v>
      </c>
      <c r="AK93">
        <v>4</v>
      </c>
      <c r="AM93" t="str">
        <f t="shared" si="28"/>
        <v>100</v>
      </c>
      <c r="AN93">
        <f t="shared" si="29"/>
        <v>50</v>
      </c>
      <c r="AO93">
        <f t="shared" si="30"/>
        <v>100</v>
      </c>
      <c r="AP93" s="15">
        <f t="shared" si="31"/>
        <v>0</v>
      </c>
      <c r="AQ93" s="15">
        <f t="shared" si="32"/>
        <v>0</v>
      </c>
      <c r="AR93" s="15">
        <f t="shared" si="33"/>
        <v>0</v>
      </c>
      <c r="AS93" s="15">
        <f t="shared" si="34"/>
        <v>50</v>
      </c>
      <c r="AT93">
        <f t="shared" si="35"/>
        <v>25</v>
      </c>
      <c r="AU93" s="15">
        <f t="shared" si="36"/>
        <v>60</v>
      </c>
      <c r="AV93" s="15">
        <f t="shared" si="37"/>
        <v>100</v>
      </c>
      <c r="AW93">
        <f t="shared" si="38"/>
        <v>100</v>
      </c>
      <c r="AX93">
        <f t="shared" si="39"/>
        <v>75</v>
      </c>
      <c r="BB93" s="14">
        <f t="shared" si="40"/>
        <v>36.806507398499996</v>
      </c>
      <c r="BC93" s="14">
        <f t="shared" si="41"/>
        <v>47.660263420499994</v>
      </c>
      <c r="BE93" s="14">
        <f t="shared" si="42"/>
        <v>40.1793114245</v>
      </c>
      <c r="BF93" s="14">
        <f t="shared" si="43"/>
        <v>24.949784446500001</v>
      </c>
      <c r="BH93" t="str">
        <f t="shared" si="44"/>
        <v>100</v>
      </c>
      <c r="BI93">
        <f t="shared" si="45"/>
        <v>100</v>
      </c>
      <c r="BJ93">
        <f t="shared" si="46"/>
        <v>100</v>
      </c>
      <c r="BK93" s="15">
        <f t="shared" si="47"/>
        <v>0</v>
      </c>
      <c r="BL93" s="15">
        <f t="shared" si="48"/>
        <v>0</v>
      </c>
      <c r="BM93" s="15">
        <f t="shared" si="49"/>
        <v>0</v>
      </c>
      <c r="BN93" s="15">
        <f t="shared" si="50"/>
        <v>50</v>
      </c>
      <c r="BO93">
        <f t="shared" si="51"/>
        <v>0</v>
      </c>
      <c r="BP93" s="15">
        <f t="shared" si="52"/>
        <v>20</v>
      </c>
      <c r="BQ93" s="15">
        <f t="shared" si="53"/>
        <v>60</v>
      </c>
      <c r="BR93">
        <f t="shared" si="54"/>
        <v>40</v>
      </c>
      <c r="BS93">
        <f t="shared" si="55"/>
        <v>25</v>
      </c>
    </row>
    <row r="94" spans="1:71" x14ac:dyDescent="0.25">
      <c r="A94">
        <v>93</v>
      </c>
      <c r="B94" t="s">
        <v>301</v>
      </c>
      <c r="C94" t="s">
        <v>40</v>
      </c>
      <c r="D94" s="1" t="d">
        <v>2018-10-09T13:02:35.00000019092112900</v>
      </c>
      <c r="E94" s="1" t="d">
        <v>2018-10-09T13:45:18.99999983143061550</v>
      </c>
      <c r="F94" t="s">
        <v>302</v>
      </c>
      <c r="G94">
        <v>2</v>
      </c>
      <c r="H94">
        <v>1</v>
      </c>
      <c r="I94">
        <v>2</v>
      </c>
      <c r="J94">
        <v>1</v>
      </c>
      <c r="K94">
        <v>3</v>
      </c>
      <c r="L94">
        <v>3</v>
      </c>
      <c r="M94">
        <v>3</v>
      </c>
      <c r="N94">
        <v>4</v>
      </c>
      <c r="O94">
        <v>2</v>
      </c>
      <c r="P94">
        <v>3</v>
      </c>
      <c r="Q94">
        <v>4</v>
      </c>
      <c r="R94">
        <v>4</v>
      </c>
      <c r="S94">
        <v>2</v>
      </c>
      <c r="T94">
        <v>1</v>
      </c>
      <c r="U94" s="1" t="d">
        <v>2019-03-24T19:45:23.00000013783574425</v>
      </c>
      <c r="V94" s="1" t="d">
        <v>2019-03-24T20:28:41.00000018253922650</v>
      </c>
      <c r="W94" t="s">
        <v>303</v>
      </c>
      <c r="X94">
        <v>3</v>
      </c>
      <c r="Y94">
        <v>2</v>
      </c>
      <c r="Z94">
        <v>1</v>
      </c>
      <c r="AA94">
        <v>1</v>
      </c>
      <c r="AB94">
        <v>2</v>
      </c>
      <c r="AC94">
        <v>2</v>
      </c>
      <c r="AD94">
        <v>2</v>
      </c>
      <c r="AE94">
        <v>3</v>
      </c>
      <c r="AF94">
        <v>4</v>
      </c>
      <c r="AG94">
        <v>5</v>
      </c>
      <c r="AH94">
        <v>3</v>
      </c>
      <c r="AI94">
        <v>3</v>
      </c>
      <c r="AJ94">
        <v>4</v>
      </c>
      <c r="AK94">
        <v>4</v>
      </c>
      <c r="AM94" t="str">
        <f t="shared" si="28"/>
        <v>85</v>
      </c>
      <c r="AN94">
        <f t="shared" si="29"/>
        <v>0</v>
      </c>
      <c r="AO94">
        <f t="shared" si="30"/>
        <v>50</v>
      </c>
      <c r="AP94" s="15">
        <f t="shared" si="31"/>
        <v>100</v>
      </c>
      <c r="AQ94" s="15">
        <f t="shared" si="32"/>
        <v>50</v>
      </c>
      <c r="AR94" s="15">
        <f t="shared" si="33"/>
        <v>50</v>
      </c>
      <c r="AS94" s="15">
        <f t="shared" si="34"/>
        <v>50</v>
      </c>
      <c r="AT94">
        <f t="shared" si="35"/>
        <v>25</v>
      </c>
      <c r="AU94" s="15">
        <f t="shared" si="36"/>
        <v>80</v>
      </c>
      <c r="AV94" s="15">
        <f t="shared" si="37"/>
        <v>60</v>
      </c>
      <c r="AW94">
        <f t="shared" si="38"/>
        <v>60</v>
      </c>
      <c r="AX94">
        <f t="shared" si="39"/>
        <v>75</v>
      </c>
      <c r="BB94" s="14">
        <f t="shared" si="40"/>
        <v>36.722791473000001</v>
      </c>
      <c r="BC94" s="14">
        <f t="shared" si="41"/>
        <v>47.048063975499993</v>
      </c>
      <c r="BE94" s="14">
        <f t="shared" si="42"/>
        <v>38.684144219000004</v>
      </c>
      <c r="BF94" s="14">
        <f t="shared" si="43"/>
        <v>37.982918953499997</v>
      </c>
      <c r="BH94" t="str">
        <f t="shared" si="44"/>
        <v>60</v>
      </c>
      <c r="BI94">
        <f t="shared" si="45"/>
        <v>50</v>
      </c>
      <c r="BJ94">
        <f t="shared" si="46"/>
        <v>0</v>
      </c>
      <c r="BK94" s="15">
        <f t="shared" si="47"/>
        <v>100</v>
      </c>
      <c r="BL94" s="15">
        <f t="shared" si="48"/>
        <v>75</v>
      </c>
      <c r="BM94" s="15">
        <f t="shared" si="49"/>
        <v>75</v>
      </c>
      <c r="BN94" s="15">
        <f t="shared" si="50"/>
        <v>75</v>
      </c>
      <c r="BO94">
        <f t="shared" si="51"/>
        <v>50</v>
      </c>
      <c r="BP94" s="15">
        <f t="shared" si="52"/>
        <v>40</v>
      </c>
      <c r="BQ94" s="15">
        <f t="shared" si="53"/>
        <v>20</v>
      </c>
      <c r="BR94">
        <f t="shared" si="54"/>
        <v>40</v>
      </c>
      <c r="BS94">
        <f t="shared" si="55"/>
        <v>50</v>
      </c>
    </row>
    <row r="95" spans="1:71" x14ac:dyDescent="0.25">
      <c r="A95">
        <v>94</v>
      </c>
      <c r="B95" t="s">
        <v>304</v>
      </c>
      <c r="C95" t="s">
        <v>40</v>
      </c>
      <c r="D95" s="1" t="d">
        <v>2018-10-22T11:47:30.00000006984918975</v>
      </c>
      <c r="E95" s="1" t="d">
        <v>2018-10-22T19:01:09.00000020395964325</v>
      </c>
      <c r="F95" t="s">
        <v>305</v>
      </c>
      <c r="G95">
        <v>3</v>
      </c>
      <c r="H95">
        <v>2</v>
      </c>
      <c r="I95">
        <v>1</v>
      </c>
      <c r="J95">
        <v>4</v>
      </c>
      <c r="K95">
        <v>4</v>
      </c>
      <c r="L95">
        <v>4</v>
      </c>
      <c r="M95">
        <v>4</v>
      </c>
      <c r="N95">
        <v>3</v>
      </c>
      <c r="O95">
        <v>3</v>
      </c>
      <c r="P95">
        <v>3</v>
      </c>
      <c r="Q95">
        <v>2</v>
      </c>
      <c r="R95">
        <v>3</v>
      </c>
      <c r="S95">
        <v>2</v>
      </c>
      <c r="T95">
        <v>3</v>
      </c>
      <c r="AM95" t="str">
        <f t="shared" si="28"/>
        <v>60</v>
      </c>
      <c r="AN95">
        <f t="shared" si="29"/>
        <v>50</v>
      </c>
      <c r="AO95">
        <f t="shared" si="30"/>
        <v>0</v>
      </c>
      <c r="AP95" s="15">
        <f t="shared" si="31"/>
        <v>25</v>
      </c>
      <c r="AQ95" s="15">
        <f t="shared" si="32"/>
        <v>25</v>
      </c>
      <c r="AR95" s="15">
        <f t="shared" si="33"/>
        <v>25</v>
      </c>
      <c r="AS95" s="15">
        <f t="shared" si="34"/>
        <v>25</v>
      </c>
      <c r="AT95">
        <f t="shared" si="35"/>
        <v>50</v>
      </c>
      <c r="AU95" s="15">
        <f t="shared" si="36"/>
        <v>60</v>
      </c>
      <c r="AV95" s="15">
        <f t="shared" si="37"/>
        <v>60</v>
      </c>
      <c r="AW95">
        <f t="shared" si="38"/>
        <v>20</v>
      </c>
      <c r="AX95">
        <f t="shared" si="39"/>
        <v>50</v>
      </c>
      <c r="BB95" s="14">
        <f t="shared" si="40"/>
        <v>35.510229332999998</v>
      </c>
      <c r="BC95" s="14">
        <f t="shared" si="41"/>
        <v>32.703297542499996</v>
      </c>
      <c r="BK95" s="15"/>
      <c r="BL95" s="15"/>
      <c r="BM95" s="15"/>
      <c r="BN95" s="15"/>
      <c r="BP95" s="15"/>
      <c r="BQ95" s="15"/>
    </row>
    <row r="96" spans="1:71" x14ac:dyDescent="0.25">
      <c r="A96">
        <v>95</v>
      </c>
      <c r="B96" t="s">
        <v>306</v>
      </c>
      <c r="C96" t="s">
        <v>40</v>
      </c>
      <c r="D96" s="1" t="d">
        <v>2018-10-10T14:55:05.00000019092112900</v>
      </c>
      <c r="E96" s="1" t="d">
        <v>2018-10-10T15:34:37.9999998165294525</v>
      </c>
      <c r="F96" t="s">
        <v>307</v>
      </c>
      <c r="G96">
        <v>3</v>
      </c>
      <c r="H96">
        <v>2</v>
      </c>
      <c r="I96">
        <v>2</v>
      </c>
      <c r="J96">
        <v>4</v>
      </c>
      <c r="K96">
        <v>3</v>
      </c>
      <c r="L96">
        <v>3</v>
      </c>
      <c r="M96">
        <v>3</v>
      </c>
      <c r="N96">
        <v>2</v>
      </c>
      <c r="O96">
        <v>4</v>
      </c>
      <c r="P96">
        <v>3</v>
      </c>
      <c r="Q96">
        <v>3</v>
      </c>
      <c r="R96">
        <v>5</v>
      </c>
      <c r="S96">
        <v>2</v>
      </c>
      <c r="T96">
        <v>1</v>
      </c>
      <c r="U96" s="1" t="d">
        <v>2019-03-12T23:43:55.00000010244548550</v>
      </c>
      <c r="V96" s="1" t="d">
        <v>2019-03-13T12:13:20.99999990779906575</v>
      </c>
      <c r="W96" t="s">
        <v>308</v>
      </c>
      <c r="X96">
        <v>4</v>
      </c>
      <c r="Y96">
        <v>1</v>
      </c>
      <c r="Z96">
        <v>1</v>
      </c>
      <c r="AA96">
        <v>2</v>
      </c>
      <c r="AB96">
        <v>2</v>
      </c>
      <c r="AC96">
        <v>2</v>
      </c>
      <c r="AD96">
        <v>2</v>
      </c>
      <c r="AE96">
        <v>3</v>
      </c>
      <c r="AF96">
        <v>5</v>
      </c>
      <c r="AG96">
        <v>3</v>
      </c>
      <c r="AH96">
        <v>2</v>
      </c>
      <c r="AI96">
        <v>2</v>
      </c>
      <c r="AJ96">
        <v>4</v>
      </c>
      <c r="AK96">
        <v>5</v>
      </c>
      <c r="AM96" t="str">
        <f t="shared" si="28"/>
        <v>60</v>
      </c>
      <c r="AN96">
        <f t="shared" si="29"/>
        <v>50</v>
      </c>
      <c r="AO96">
        <f t="shared" si="30"/>
        <v>50</v>
      </c>
      <c r="AP96" s="15">
        <f t="shared" si="31"/>
        <v>25</v>
      </c>
      <c r="AQ96" s="15">
        <f t="shared" si="32"/>
        <v>50</v>
      </c>
      <c r="AR96" s="15">
        <f t="shared" si="33"/>
        <v>50</v>
      </c>
      <c r="AS96" s="15">
        <f t="shared" si="34"/>
        <v>50</v>
      </c>
      <c r="AT96">
        <f t="shared" si="35"/>
        <v>75</v>
      </c>
      <c r="AU96" s="15">
        <f t="shared" si="36"/>
        <v>40</v>
      </c>
      <c r="AV96" s="15">
        <f t="shared" si="37"/>
        <v>60</v>
      </c>
      <c r="AW96">
        <f t="shared" si="38"/>
        <v>40</v>
      </c>
      <c r="AX96">
        <f t="shared" si="39"/>
        <v>100</v>
      </c>
      <c r="BB96" s="14">
        <f t="shared" si="40"/>
        <v>42.220055383000002</v>
      </c>
      <c r="BC96" s="14">
        <f t="shared" si="41"/>
        <v>41.315891689999994</v>
      </c>
      <c r="BE96" s="14">
        <f t="shared" si="42"/>
        <v>34.681190207999997</v>
      </c>
      <c r="BF96" s="14">
        <f t="shared" si="43"/>
        <v>35.297088542999994</v>
      </c>
      <c r="BH96" t="str">
        <f t="shared" si="44"/>
        <v>35</v>
      </c>
      <c r="BI96">
        <f t="shared" si="45"/>
        <v>0</v>
      </c>
      <c r="BJ96">
        <f t="shared" si="46"/>
        <v>0</v>
      </c>
      <c r="BK96" s="15">
        <f t="shared" si="47"/>
        <v>75</v>
      </c>
      <c r="BL96" s="15">
        <f t="shared" si="48"/>
        <v>75</v>
      </c>
      <c r="BM96" s="15">
        <f t="shared" si="49"/>
        <v>75</v>
      </c>
      <c r="BN96" s="15">
        <f t="shared" si="50"/>
        <v>75</v>
      </c>
      <c r="BO96">
        <f t="shared" si="51"/>
        <v>50</v>
      </c>
      <c r="BP96" s="15">
        <f t="shared" si="52"/>
        <v>20</v>
      </c>
      <c r="BQ96" s="15">
        <f t="shared" si="53"/>
        <v>60</v>
      </c>
      <c r="BR96">
        <f t="shared" si="54"/>
        <v>20</v>
      </c>
      <c r="BS96">
        <f t="shared" si="55"/>
        <v>25</v>
      </c>
    </row>
    <row r="97" spans="1:71" x14ac:dyDescent="0.25">
      <c r="A97">
        <v>96</v>
      </c>
      <c r="B97" t="s">
        <v>309</v>
      </c>
      <c r="C97" t="s">
        <v>40</v>
      </c>
      <c r="D97" s="1" t="d">
        <v>2018-10-30T16:43:20.00000030267983800</v>
      </c>
      <c r="E97" s="1" t="d">
        <v>2018-10-30T17:13:00.99999984260648775</v>
      </c>
      <c r="F97" t="s">
        <v>310</v>
      </c>
      <c r="G97">
        <v>2</v>
      </c>
      <c r="H97">
        <v>2</v>
      </c>
      <c r="I97">
        <v>3</v>
      </c>
      <c r="J97">
        <v>4</v>
      </c>
      <c r="K97">
        <v>4</v>
      </c>
      <c r="L97">
        <v>4</v>
      </c>
      <c r="M97">
        <v>4</v>
      </c>
      <c r="N97">
        <v>3</v>
      </c>
      <c r="O97">
        <v>2</v>
      </c>
      <c r="P97">
        <v>1</v>
      </c>
      <c r="Q97">
        <v>5</v>
      </c>
      <c r="R97">
        <v>4</v>
      </c>
      <c r="S97">
        <v>2</v>
      </c>
      <c r="T97">
        <v>3</v>
      </c>
      <c r="U97" s="1" t="d">
        <v>2019-06-12T12:22:36.0000001452863216325</v>
      </c>
      <c r="V97" s="1" t="d">
        <v>2019-06-12T12:48:39.9999998789280675</v>
      </c>
      <c r="W97" t="s">
        <v>311</v>
      </c>
      <c r="X97">
        <v>2</v>
      </c>
      <c r="Y97">
        <v>2</v>
      </c>
      <c r="Z97">
        <v>2</v>
      </c>
      <c r="AA97">
        <v>4</v>
      </c>
      <c r="AB97">
        <v>3</v>
      </c>
      <c r="AC97">
        <v>4</v>
      </c>
      <c r="AD97">
        <v>3</v>
      </c>
      <c r="AE97">
        <v>4</v>
      </c>
      <c r="AF97">
        <v>3</v>
      </c>
      <c r="AG97">
        <v>3</v>
      </c>
      <c r="AH97">
        <v>3</v>
      </c>
      <c r="AI97">
        <v>4</v>
      </c>
      <c r="AJ97">
        <v>3</v>
      </c>
      <c r="AK97">
        <v>4</v>
      </c>
      <c r="AM97" t="str">
        <f t="shared" si="28"/>
        <v>85</v>
      </c>
      <c r="AN97">
        <f t="shared" si="29"/>
        <v>50</v>
      </c>
      <c r="AO97">
        <f t="shared" si="30"/>
        <v>100</v>
      </c>
      <c r="AP97" s="15">
        <f t="shared" si="31"/>
        <v>25</v>
      </c>
      <c r="AQ97" s="15">
        <f t="shared" si="32"/>
        <v>25</v>
      </c>
      <c r="AR97" s="15">
        <f t="shared" si="33"/>
        <v>25</v>
      </c>
      <c r="AS97" s="15">
        <f t="shared" si="34"/>
        <v>25</v>
      </c>
      <c r="AT97">
        <f t="shared" si="35"/>
        <v>50</v>
      </c>
      <c r="AU97" s="15">
        <f t="shared" si="36"/>
        <v>80</v>
      </c>
      <c r="AV97" s="15">
        <f t="shared" si="37"/>
        <v>100</v>
      </c>
      <c r="AW97">
        <f t="shared" si="38"/>
        <v>80</v>
      </c>
      <c r="AX97">
        <f t="shared" si="39"/>
        <v>75</v>
      </c>
      <c r="BB97" s="14">
        <f t="shared" si="40"/>
        <v>42.214171411999999</v>
      </c>
      <c r="BC97" s="14">
        <f t="shared" si="41"/>
        <v>46.165010342999999</v>
      </c>
      <c r="BE97" s="14">
        <f t="shared" si="42"/>
        <v>37.954096617999994</v>
      </c>
      <c r="BF97" s="14">
        <f t="shared" si="43"/>
        <v>38.818243748499995</v>
      </c>
      <c r="BH97" t="str">
        <f t="shared" si="44"/>
        <v>85</v>
      </c>
      <c r="BI97">
        <f t="shared" si="45"/>
        <v>50</v>
      </c>
      <c r="BJ97">
        <f t="shared" si="46"/>
        <v>50</v>
      </c>
      <c r="BK97" s="15">
        <f t="shared" si="47"/>
        <v>25</v>
      </c>
      <c r="BL97" s="15">
        <f t="shared" si="48"/>
        <v>50</v>
      </c>
      <c r="BM97" s="15">
        <f t="shared" si="49"/>
        <v>25</v>
      </c>
      <c r="BN97" s="15">
        <f t="shared" si="50"/>
        <v>50</v>
      </c>
      <c r="BO97">
        <f t="shared" si="51"/>
        <v>25</v>
      </c>
      <c r="BP97" s="15">
        <f t="shared" si="52"/>
        <v>60</v>
      </c>
      <c r="BQ97" s="15">
        <f t="shared" si="53"/>
        <v>60</v>
      </c>
      <c r="BR97">
        <f t="shared" si="54"/>
        <v>40</v>
      </c>
      <c r="BS97">
        <f t="shared" si="55"/>
        <v>75</v>
      </c>
    </row>
    <row r="98" spans="1:71" x14ac:dyDescent="0.25">
      <c r="A98">
        <v>97</v>
      </c>
      <c r="B98" t="s">
        <v>312</v>
      </c>
      <c r="C98" t="s">
        <v>40</v>
      </c>
      <c r="D98" s="1" t="d">
        <v>2018-11-05T17:35:56.00000002887099825</v>
      </c>
      <c r="E98" s="1" t="d">
        <v>2018-11-05T18:27:35.99999986588954650</v>
      </c>
      <c r="F98" t="s">
        <v>313</v>
      </c>
      <c r="G98">
        <v>2</v>
      </c>
      <c r="H98">
        <v>2</v>
      </c>
      <c r="I98">
        <v>3</v>
      </c>
      <c r="J98">
        <v>3</v>
      </c>
      <c r="K98">
        <v>3</v>
      </c>
      <c r="L98">
        <v>3</v>
      </c>
      <c r="M98">
        <v>3</v>
      </c>
      <c r="N98">
        <v>3</v>
      </c>
      <c r="O98">
        <v>2</v>
      </c>
      <c r="P98">
        <v>2</v>
      </c>
      <c r="Q98">
        <v>3</v>
      </c>
      <c r="R98">
        <v>2</v>
      </c>
      <c r="S98">
        <v>4</v>
      </c>
      <c r="T98">
        <v>4</v>
      </c>
      <c r="U98" s="1" t="d">
        <v>2019-04-02T21:23:57.99999982584267600</v>
      </c>
      <c r="V98" s="1" t="d">
        <v>2019-04-02T22:13:42.00000020675361300</v>
      </c>
      <c r="W98" t="s">
        <v>314</v>
      </c>
      <c r="X98">
        <v>2</v>
      </c>
      <c r="Y98">
        <v>2</v>
      </c>
      <c r="Z98">
        <v>3</v>
      </c>
      <c r="AA98">
        <v>4</v>
      </c>
      <c r="AB98">
        <v>4</v>
      </c>
      <c r="AC98">
        <v>4</v>
      </c>
      <c r="AD98">
        <v>4</v>
      </c>
      <c r="AE98">
        <v>2</v>
      </c>
      <c r="AF98">
        <v>3</v>
      </c>
      <c r="AG98">
        <v>2</v>
      </c>
      <c r="AH98">
        <v>5</v>
      </c>
      <c r="AI98">
        <v>3</v>
      </c>
      <c r="AJ98">
        <v>3</v>
      </c>
      <c r="AK98">
        <v>2</v>
      </c>
      <c r="AM98" t="str">
        <f t="shared" si="28"/>
        <v>85</v>
      </c>
      <c r="AN98">
        <f t="shared" si="29"/>
        <v>50</v>
      </c>
      <c r="AO98">
        <f t="shared" si="30"/>
        <v>100</v>
      </c>
      <c r="AP98" s="15">
        <f t="shared" si="31"/>
        <v>50</v>
      </c>
      <c r="AQ98" s="15">
        <f t="shared" si="32"/>
        <v>50</v>
      </c>
      <c r="AR98" s="15">
        <f t="shared" si="33"/>
        <v>50</v>
      </c>
      <c r="AS98" s="15">
        <f t="shared" si="34"/>
        <v>50</v>
      </c>
      <c r="AT98">
        <f t="shared" si="35"/>
        <v>50</v>
      </c>
      <c r="AU98" s="15">
        <f t="shared" si="36"/>
        <v>80</v>
      </c>
      <c r="AV98" s="15">
        <f t="shared" si="37"/>
        <v>80</v>
      </c>
      <c r="AW98">
        <f t="shared" si="38"/>
        <v>40</v>
      </c>
      <c r="AX98">
        <f t="shared" si="39"/>
        <v>25</v>
      </c>
      <c r="BB98" s="14">
        <f t="shared" si="40"/>
        <v>44.918423379999993</v>
      </c>
      <c r="BC98" s="14">
        <f t="shared" si="41"/>
        <v>37.315958151499999</v>
      </c>
      <c r="BE98" s="14">
        <f t="shared" si="42"/>
        <v>45.697160247500001</v>
      </c>
      <c r="BF98" s="14">
        <f t="shared" si="43"/>
        <v>39.264677542500003</v>
      </c>
      <c r="BH98" t="str">
        <f t="shared" si="44"/>
        <v>85</v>
      </c>
      <c r="BI98">
        <f t="shared" si="45"/>
        <v>50</v>
      </c>
      <c r="BJ98">
        <f t="shared" si="46"/>
        <v>100</v>
      </c>
      <c r="BK98" s="15">
        <f t="shared" si="47"/>
        <v>25</v>
      </c>
      <c r="BL98" s="15">
        <f t="shared" si="48"/>
        <v>25</v>
      </c>
      <c r="BM98" s="15">
        <f t="shared" si="49"/>
        <v>25</v>
      </c>
      <c r="BN98" s="15">
        <f t="shared" si="50"/>
        <v>25</v>
      </c>
      <c r="BO98">
        <f t="shared" si="51"/>
        <v>75</v>
      </c>
      <c r="BP98" s="15">
        <f t="shared" si="52"/>
        <v>60</v>
      </c>
      <c r="BQ98" s="15">
        <f t="shared" si="53"/>
        <v>80</v>
      </c>
      <c r="BR98">
        <f t="shared" si="54"/>
        <v>80</v>
      </c>
      <c r="BS98">
        <f t="shared" si="55"/>
        <v>50</v>
      </c>
    </row>
    <row r="99" spans="1:71" x14ac:dyDescent="0.25">
      <c r="A99">
        <v>98</v>
      </c>
      <c r="B99" t="s">
        <v>315</v>
      </c>
      <c r="C99" t="s">
        <v>40</v>
      </c>
      <c r="D99" s="1" t="d">
        <v>2018-10-30T08:07:13.0000002169981575</v>
      </c>
      <c r="E99" s="1" t="d">
        <v>2018-10-30T15:04:41.99999991338699850</v>
      </c>
      <c r="F99" t="s">
        <v>316</v>
      </c>
      <c r="G99">
        <v>2</v>
      </c>
      <c r="H99">
        <v>1</v>
      </c>
      <c r="I99">
        <v>2</v>
      </c>
      <c r="J99">
        <v>4</v>
      </c>
      <c r="K99">
        <v>5</v>
      </c>
      <c r="L99">
        <v>4</v>
      </c>
      <c r="M99">
        <v>4</v>
      </c>
      <c r="N99">
        <v>2</v>
      </c>
      <c r="O99">
        <v>2</v>
      </c>
      <c r="P99">
        <v>2</v>
      </c>
      <c r="Q99">
        <v>4</v>
      </c>
      <c r="R99">
        <v>4</v>
      </c>
      <c r="S99">
        <v>1</v>
      </c>
      <c r="T99">
        <v>1</v>
      </c>
      <c r="U99" s="1" t="d">
        <v>2019-03-29T16:44:49.99999996740371100</v>
      </c>
      <c r="V99" s="1" t="d">
        <v>2019-03-29T17:20:35.99999996367842025</v>
      </c>
      <c r="W99" t="s">
        <v>317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4</v>
      </c>
      <c r="AG99">
        <v>3</v>
      </c>
      <c r="AH99">
        <v>3</v>
      </c>
      <c r="AI99">
        <v>2</v>
      </c>
      <c r="AJ99">
        <v>4</v>
      </c>
      <c r="AK99">
        <v>3</v>
      </c>
      <c r="AM99" t="str">
        <f t="shared" si="28"/>
        <v>85</v>
      </c>
      <c r="AN99">
        <f t="shared" si="29"/>
        <v>0</v>
      </c>
      <c r="AO99">
        <f t="shared" si="30"/>
        <v>50</v>
      </c>
      <c r="AP99" s="15">
        <f t="shared" si="31"/>
        <v>25</v>
      </c>
      <c r="AQ99" s="15">
        <f t="shared" si="32"/>
        <v>0</v>
      </c>
      <c r="AR99" s="15">
        <f t="shared" si="33"/>
        <v>25</v>
      </c>
      <c r="AS99" s="15">
        <f t="shared" si="34"/>
        <v>25</v>
      </c>
      <c r="AT99">
        <f t="shared" si="35"/>
        <v>75</v>
      </c>
      <c r="AU99" s="15">
        <f t="shared" si="36"/>
        <v>80</v>
      </c>
      <c r="AV99" s="15">
        <f t="shared" si="37"/>
        <v>80</v>
      </c>
      <c r="AW99">
        <f t="shared" si="38"/>
        <v>60</v>
      </c>
      <c r="AX99">
        <f t="shared" si="39"/>
        <v>75</v>
      </c>
      <c r="BB99" s="14">
        <f t="shared" si="40"/>
        <v>37.182552035000001</v>
      </c>
      <c r="BC99" s="14">
        <f t="shared" si="41"/>
        <v>45.14970065</v>
      </c>
      <c r="BE99" s="14">
        <f t="shared" si="42"/>
        <v>47.022703843000002</v>
      </c>
      <c r="BF99" s="14">
        <f t="shared" si="43"/>
        <v>36.46396644</v>
      </c>
      <c r="BH99" t="str">
        <f t="shared" si="44"/>
        <v>85</v>
      </c>
      <c r="BI99">
        <f t="shared" si="45"/>
        <v>50</v>
      </c>
      <c r="BJ99">
        <f t="shared" si="46"/>
        <v>50</v>
      </c>
      <c r="BK99" s="15">
        <f t="shared" si="47"/>
        <v>75</v>
      </c>
      <c r="BL99" s="15">
        <f t="shared" si="48"/>
        <v>75</v>
      </c>
      <c r="BM99" s="15">
        <f t="shared" si="49"/>
        <v>75</v>
      </c>
      <c r="BN99" s="15">
        <f t="shared" si="50"/>
        <v>75</v>
      </c>
      <c r="BO99">
        <f t="shared" si="51"/>
        <v>75</v>
      </c>
      <c r="BP99" s="15">
        <f t="shared" si="52"/>
        <v>40</v>
      </c>
      <c r="BQ99" s="15">
        <f t="shared" si="53"/>
        <v>60</v>
      </c>
      <c r="BR99">
        <f t="shared" si="54"/>
        <v>40</v>
      </c>
      <c r="BS99">
        <f t="shared" si="55"/>
        <v>25</v>
      </c>
    </row>
    <row r="100" spans="1:71" x14ac:dyDescent="0.25">
      <c r="A100">
        <v>99</v>
      </c>
      <c r="B100" t="s">
        <v>318</v>
      </c>
      <c r="C100" t="s">
        <v>40</v>
      </c>
      <c r="D100" s="1" t="d">
        <v>2018-11-07T19:04:06.00000008940696450</v>
      </c>
      <c r="E100" s="1" t="d">
        <v>2018-11-07T22:02:16.0000001499429375</v>
      </c>
      <c r="F100" t="s">
        <v>319</v>
      </c>
      <c r="G100">
        <v>3</v>
      </c>
      <c r="H100">
        <v>1</v>
      </c>
      <c r="I100">
        <v>1</v>
      </c>
      <c r="J100">
        <v>5</v>
      </c>
      <c r="K100">
        <v>4</v>
      </c>
      <c r="L100">
        <v>5</v>
      </c>
      <c r="M100">
        <v>4</v>
      </c>
      <c r="N100">
        <v>4</v>
      </c>
      <c r="O100">
        <v>4</v>
      </c>
      <c r="P100">
        <v>1</v>
      </c>
      <c r="Q100">
        <v>3</v>
      </c>
      <c r="R100">
        <v>3</v>
      </c>
      <c r="S100">
        <v>2</v>
      </c>
      <c r="T100">
        <v>2</v>
      </c>
      <c r="U100" s="1" t="d">
        <v>2019-04-01T18:55:11.00000012665987200</v>
      </c>
      <c r="V100" s="1" t="d">
        <v>2019-04-01T20:01:07.99999976065009800</v>
      </c>
      <c r="W100" t="s">
        <v>320</v>
      </c>
      <c r="X100">
        <v>3</v>
      </c>
      <c r="Y100">
        <v>2</v>
      </c>
      <c r="Z100">
        <v>2</v>
      </c>
      <c r="AA100">
        <v>3</v>
      </c>
      <c r="AB100">
        <v>1</v>
      </c>
      <c r="AC100">
        <v>4</v>
      </c>
      <c r="AD100">
        <v>2</v>
      </c>
      <c r="AE100">
        <v>5</v>
      </c>
      <c r="AF100">
        <v>2</v>
      </c>
      <c r="AG100">
        <v>1</v>
      </c>
      <c r="AH100">
        <v>2</v>
      </c>
      <c r="AI100">
        <v>3</v>
      </c>
      <c r="AJ100">
        <v>2</v>
      </c>
      <c r="AK100">
        <v>4</v>
      </c>
      <c r="AM100" t="str">
        <f t="shared" si="28"/>
        <v>60</v>
      </c>
      <c r="AN100">
        <f t="shared" si="29"/>
        <v>0</v>
      </c>
      <c r="AO100">
        <f t="shared" si="30"/>
        <v>0</v>
      </c>
      <c r="AP100" s="15">
        <f t="shared" si="31"/>
        <v>0</v>
      </c>
      <c r="AQ100" s="15">
        <f t="shared" si="32"/>
        <v>25</v>
      </c>
      <c r="AR100" s="15">
        <f t="shared" si="33"/>
        <v>0</v>
      </c>
      <c r="AS100" s="15">
        <f t="shared" si="34"/>
        <v>25</v>
      </c>
      <c r="AT100">
        <f t="shared" si="35"/>
        <v>25</v>
      </c>
      <c r="AU100" s="15">
        <f t="shared" si="36"/>
        <v>40</v>
      </c>
      <c r="AV100" s="15">
        <f t="shared" si="37"/>
        <v>100</v>
      </c>
      <c r="AW100">
        <f t="shared" si="38"/>
        <v>40</v>
      </c>
      <c r="AX100">
        <f t="shared" si="39"/>
        <v>50</v>
      </c>
      <c r="BB100" s="14">
        <f t="shared" si="40"/>
        <v>29.534914517000004</v>
      </c>
      <c r="BC100" s="14">
        <f t="shared" si="41"/>
        <v>36.1261926265</v>
      </c>
      <c r="BE100" s="14">
        <f t="shared" si="42"/>
        <v>38.644370916999996</v>
      </c>
      <c r="BF100" s="14">
        <f t="shared" si="43"/>
        <v>38.873627597499997</v>
      </c>
      <c r="BH100" t="str">
        <f t="shared" si="44"/>
        <v>60</v>
      </c>
      <c r="BI100">
        <f t="shared" si="45"/>
        <v>50</v>
      </c>
      <c r="BJ100">
        <f t="shared" si="46"/>
        <v>50</v>
      </c>
      <c r="BK100" s="15">
        <f t="shared" si="47"/>
        <v>50</v>
      </c>
      <c r="BL100" s="15">
        <f t="shared" si="48"/>
        <v>100</v>
      </c>
      <c r="BM100" s="15">
        <f t="shared" si="49"/>
        <v>25</v>
      </c>
      <c r="BN100" s="15">
        <f t="shared" si="50"/>
        <v>75</v>
      </c>
      <c r="BO100">
        <f t="shared" si="51"/>
        <v>0</v>
      </c>
      <c r="BP100" s="15">
        <f t="shared" si="52"/>
        <v>80</v>
      </c>
      <c r="BQ100" s="15">
        <f t="shared" si="53"/>
        <v>100</v>
      </c>
      <c r="BR100">
        <f t="shared" si="54"/>
        <v>20</v>
      </c>
      <c r="BS100">
        <f t="shared" si="55"/>
        <v>50</v>
      </c>
    </row>
    <row r="101" spans="1:71" x14ac:dyDescent="0.25">
      <c r="A101">
        <v>100</v>
      </c>
      <c r="B101" t="s">
        <v>321</v>
      </c>
      <c r="C101" t="s">
        <v>40</v>
      </c>
      <c r="D101" s="1" t="d">
        <v>2018-11-14T06:50:59.00000031106174050</v>
      </c>
      <c r="E101" s="1" t="d">
        <v>2018-11-28T12:21:48.99999984540045075</v>
      </c>
      <c r="F101" t="s">
        <v>322</v>
      </c>
      <c r="U101" s="1" t="d">
        <v>2019-04-16T13:13:20.99999969825148300</v>
      </c>
      <c r="V101" s="1" t="d">
        <v>2019-04-16T13:54:10.99999972153454850</v>
      </c>
      <c r="W101" t="s">
        <v>323</v>
      </c>
      <c r="X101">
        <v>3</v>
      </c>
      <c r="Y101">
        <v>1</v>
      </c>
      <c r="Z101">
        <v>2</v>
      </c>
      <c r="AA101">
        <v>1</v>
      </c>
      <c r="AB101">
        <v>2</v>
      </c>
      <c r="AC101">
        <v>1</v>
      </c>
      <c r="AD101">
        <v>1</v>
      </c>
      <c r="AE101">
        <v>2</v>
      </c>
      <c r="AF101">
        <v>4</v>
      </c>
      <c r="AG101">
        <v>4</v>
      </c>
      <c r="AH101">
        <v>3</v>
      </c>
      <c r="AI101">
        <v>3</v>
      </c>
      <c r="AJ101">
        <v>3</v>
      </c>
      <c r="AK101">
        <v>3</v>
      </c>
      <c r="AP101" s="15"/>
      <c r="AQ101" s="15"/>
      <c r="AR101" s="15"/>
      <c r="AS101" s="15"/>
      <c r="AU101" s="15"/>
      <c r="AV101" s="15"/>
      <c r="BE101" s="14">
        <f t="shared" si="42"/>
        <v>40.874822201000001</v>
      </c>
      <c r="BF101" s="14">
        <f t="shared" si="43"/>
        <v>44.147214107999993</v>
      </c>
      <c r="BH101" t="str">
        <f t="shared" si="44"/>
        <v>60</v>
      </c>
      <c r="BI101">
        <f t="shared" si="45"/>
        <v>0</v>
      </c>
      <c r="BJ101">
        <f t="shared" si="46"/>
        <v>50</v>
      </c>
      <c r="BK101" s="15">
        <f t="shared" si="47"/>
        <v>100</v>
      </c>
      <c r="BL101" s="15">
        <f t="shared" si="48"/>
        <v>75</v>
      </c>
      <c r="BM101" s="15">
        <f t="shared" si="49"/>
        <v>100</v>
      </c>
      <c r="BN101" s="15">
        <f t="shared" si="50"/>
        <v>100</v>
      </c>
      <c r="BO101">
        <f t="shared" si="51"/>
        <v>75</v>
      </c>
      <c r="BP101" s="15">
        <f t="shared" si="52"/>
        <v>40</v>
      </c>
      <c r="BQ101" s="15">
        <f t="shared" si="53"/>
        <v>40</v>
      </c>
      <c r="BR101">
        <f t="shared" si="54"/>
        <v>40</v>
      </c>
      <c r="BS101">
        <f t="shared" si="55"/>
        <v>50</v>
      </c>
    </row>
    <row r="102" spans="1:71" x14ac:dyDescent="0.25">
      <c r="A102">
        <v>101</v>
      </c>
      <c r="B102" t="s">
        <v>324</v>
      </c>
      <c r="C102" t="s">
        <v>40</v>
      </c>
      <c r="D102" s="1" t="d">
        <v>2018-11-08T14:38:27.000000122934579900</v>
      </c>
      <c r="E102" s="1" t="d">
        <v>2018-11-08T15:14:18.00000003073364700</v>
      </c>
      <c r="F102" t="s">
        <v>325</v>
      </c>
      <c r="G102">
        <v>1</v>
      </c>
      <c r="H102">
        <v>2</v>
      </c>
      <c r="I102">
        <v>1</v>
      </c>
      <c r="J102">
        <v>5</v>
      </c>
      <c r="K102">
        <v>2</v>
      </c>
      <c r="L102">
        <v>5</v>
      </c>
      <c r="M102">
        <v>5</v>
      </c>
      <c r="N102">
        <v>4</v>
      </c>
      <c r="O102">
        <v>1</v>
      </c>
      <c r="P102">
        <v>1</v>
      </c>
      <c r="Q102">
        <v>6</v>
      </c>
      <c r="R102">
        <v>5</v>
      </c>
      <c r="S102">
        <v>1</v>
      </c>
      <c r="T102">
        <v>1</v>
      </c>
      <c r="U102" s="1" t="d">
        <v>2019-04-06T06:54:26.99999989941716325</v>
      </c>
      <c r="V102" s="1" t="d">
        <v>2019-04-06T07:40:04.99999998137354625</v>
      </c>
      <c r="W102" t="s">
        <v>326</v>
      </c>
      <c r="X102">
        <v>3</v>
      </c>
      <c r="Y102">
        <v>2</v>
      </c>
      <c r="Z102">
        <v>1</v>
      </c>
      <c r="AA102">
        <v>3</v>
      </c>
      <c r="AB102">
        <v>1</v>
      </c>
      <c r="AC102">
        <v>2</v>
      </c>
      <c r="AD102">
        <v>4</v>
      </c>
      <c r="AE102">
        <v>4</v>
      </c>
      <c r="AF102">
        <v>5</v>
      </c>
      <c r="AG102">
        <v>1</v>
      </c>
      <c r="AH102">
        <v>3</v>
      </c>
      <c r="AI102">
        <v>2</v>
      </c>
      <c r="AJ102">
        <v>4</v>
      </c>
      <c r="AK102">
        <v>4</v>
      </c>
      <c r="AM102" t="str">
        <f t="shared" si="28"/>
        <v>100</v>
      </c>
      <c r="AN102">
        <f t="shared" si="29"/>
        <v>50</v>
      </c>
      <c r="AO102">
        <f t="shared" si="30"/>
        <v>0</v>
      </c>
      <c r="AP102" s="15">
        <f t="shared" si="31"/>
        <v>0</v>
      </c>
      <c r="AQ102" s="15">
        <f t="shared" si="32"/>
        <v>75</v>
      </c>
      <c r="AR102" s="15">
        <f t="shared" si="33"/>
        <v>0</v>
      </c>
      <c r="AS102" s="15">
        <f t="shared" si="34"/>
        <v>0</v>
      </c>
      <c r="AT102">
        <f t="shared" si="35"/>
        <v>25</v>
      </c>
      <c r="AU102" s="15">
        <f t="shared" si="36"/>
        <v>100</v>
      </c>
      <c r="AV102" s="15">
        <f t="shared" si="37"/>
        <v>100</v>
      </c>
      <c r="AW102">
        <f t="shared" si="38"/>
        <v>100</v>
      </c>
      <c r="AX102">
        <f t="shared" si="39"/>
        <v>100</v>
      </c>
      <c r="BB102" s="14">
        <f t="shared" si="40"/>
        <v>34.916668740999995</v>
      </c>
      <c r="BC102" s="14">
        <f t="shared" si="41"/>
        <v>52.016118304999999</v>
      </c>
      <c r="BE102" s="14">
        <f t="shared" si="42"/>
        <v>38.347692729499997</v>
      </c>
      <c r="BF102" s="14">
        <f t="shared" si="43"/>
        <v>35.842619417999998</v>
      </c>
      <c r="BH102" t="str">
        <f t="shared" si="44"/>
        <v>60</v>
      </c>
      <c r="BI102">
        <f t="shared" si="45"/>
        <v>50</v>
      </c>
      <c r="BJ102">
        <f t="shared" si="46"/>
        <v>0</v>
      </c>
      <c r="BK102" s="15">
        <f t="shared" si="47"/>
        <v>50</v>
      </c>
      <c r="BL102" s="15">
        <f t="shared" si="48"/>
        <v>100</v>
      </c>
      <c r="BM102" s="15">
        <f t="shared" si="49"/>
        <v>75</v>
      </c>
      <c r="BN102" s="15">
        <f t="shared" si="50"/>
        <v>25</v>
      </c>
      <c r="BO102">
        <f t="shared" si="51"/>
        <v>25</v>
      </c>
      <c r="BP102" s="15">
        <f t="shared" si="52"/>
        <v>20</v>
      </c>
      <c r="BQ102" s="15">
        <f t="shared" si="53"/>
        <v>100</v>
      </c>
      <c r="BR102">
        <f t="shared" si="54"/>
        <v>40</v>
      </c>
      <c r="BS102">
        <f t="shared" si="55"/>
        <v>25</v>
      </c>
    </row>
    <row r="103" spans="1:71" x14ac:dyDescent="0.25">
      <c r="A103">
        <v>102</v>
      </c>
      <c r="B103" t="s">
        <v>327</v>
      </c>
      <c r="C103" t="s">
        <v>40</v>
      </c>
      <c r="D103" s="1" t="d">
        <v>2018-11-12T22:43:46.00000009406358300</v>
      </c>
      <c r="E103" s="1" t="d">
        <v>2018-11-13T08:00:16.00000017788261475</v>
      </c>
      <c r="F103" t="s">
        <v>328</v>
      </c>
      <c r="G103">
        <v>2</v>
      </c>
      <c r="H103">
        <v>3</v>
      </c>
      <c r="I103">
        <v>2</v>
      </c>
      <c r="J103">
        <v>4</v>
      </c>
      <c r="K103">
        <v>4</v>
      </c>
      <c r="L103">
        <v>4</v>
      </c>
      <c r="M103">
        <v>4</v>
      </c>
      <c r="N103">
        <v>3</v>
      </c>
      <c r="O103">
        <v>2</v>
      </c>
      <c r="P103">
        <v>2</v>
      </c>
      <c r="Q103">
        <v>5</v>
      </c>
      <c r="R103">
        <v>4</v>
      </c>
      <c r="S103">
        <v>4</v>
      </c>
      <c r="T103">
        <v>3</v>
      </c>
      <c r="U103" s="1" t="d">
        <v>2019-06-03T17:00:27.00000023469329025</v>
      </c>
      <c r="V103" s="1" t="d">
        <v>2019-06-03T17:39:51.0000002710148700</v>
      </c>
      <c r="W103" t="s">
        <v>329</v>
      </c>
      <c r="X103">
        <v>3</v>
      </c>
      <c r="Y103">
        <v>2</v>
      </c>
      <c r="Z103">
        <v>2</v>
      </c>
      <c r="AA103">
        <v>4</v>
      </c>
      <c r="AB103">
        <v>4</v>
      </c>
      <c r="AC103">
        <v>4</v>
      </c>
      <c r="AD103">
        <v>4</v>
      </c>
      <c r="AE103">
        <v>3</v>
      </c>
      <c r="AF103">
        <v>2</v>
      </c>
      <c r="AG103">
        <v>3</v>
      </c>
      <c r="AH103">
        <v>5</v>
      </c>
      <c r="AI103">
        <v>4</v>
      </c>
      <c r="AJ103">
        <v>4</v>
      </c>
      <c r="AK103">
        <v>4</v>
      </c>
      <c r="AM103" t="str">
        <f t="shared" si="28"/>
        <v>85</v>
      </c>
      <c r="AN103">
        <f t="shared" si="29"/>
        <v>100</v>
      </c>
      <c r="AO103">
        <f t="shared" si="30"/>
        <v>50</v>
      </c>
      <c r="AP103" s="15">
        <f t="shared" si="31"/>
        <v>25</v>
      </c>
      <c r="AQ103" s="15">
        <f t="shared" si="32"/>
        <v>25</v>
      </c>
      <c r="AR103" s="15">
        <f t="shared" si="33"/>
        <v>25</v>
      </c>
      <c r="AS103" s="15">
        <f t="shared" si="34"/>
        <v>25</v>
      </c>
      <c r="AT103">
        <f t="shared" si="35"/>
        <v>50</v>
      </c>
      <c r="AU103" s="15">
        <f t="shared" si="36"/>
        <v>80</v>
      </c>
      <c r="AV103" s="15">
        <f t="shared" si="37"/>
        <v>80</v>
      </c>
      <c r="AW103">
        <f t="shared" si="38"/>
        <v>80</v>
      </c>
      <c r="AX103">
        <f t="shared" si="39"/>
        <v>75</v>
      </c>
      <c r="BB103" s="14">
        <f t="shared" si="40"/>
        <v>41.126186075000007</v>
      </c>
      <c r="BC103" s="14">
        <f t="shared" si="41"/>
        <v>44.580392240999998</v>
      </c>
      <c r="BE103" s="14">
        <f t="shared" si="42"/>
        <v>35.3172968055</v>
      </c>
      <c r="BF103" s="14">
        <f t="shared" si="43"/>
        <v>44.989680163999999</v>
      </c>
      <c r="BH103" t="str">
        <f t="shared" si="44"/>
        <v>60</v>
      </c>
      <c r="BI103">
        <f t="shared" si="45"/>
        <v>50</v>
      </c>
      <c r="BJ103">
        <f t="shared" si="46"/>
        <v>50</v>
      </c>
      <c r="BK103" s="15">
        <f t="shared" si="47"/>
        <v>25</v>
      </c>
      <c r="BL103" s="15">
        <f t="shared" si="48"/>
        <v>25</v>
      </c>
      <c r="BM103" s="15">
        <f t="shared" si="49"/>
        <v>25</v>
      </c>
      <c r="BN103" s="15">
        <f t="shared" si="50"/>
        <v>25</v>
      </c>
      <c r="BO103">
        <f t="shared" si="51"/>
        <v>50</v>
      </c>
      <c r="BP103" s="15">
        <f t="shared" si="52"/>
        <v>80</v>
      </c>
      <c r="BQ103" s="15">
        <f t="shared" si="53"/>
        <v>60</v>
      </c>
      <c r="BR103">
        <f t="shared" si="54"/>
        <v>80</v>
      </c>
      <c r="BS103">
        <f t="shared" si="55"/>
        <v>75</v>
      </c>
    </row>
    <row r="104" spans="1:71" x14ac:dyDescent="0.25">
      <c r="A104">
        <v>103</v>
      </c>
      <c r="B104" t="s">
        <v>330</v>
      </c>
      <c r="C104" t="s">
        <v>111</v>
      </c>
      <c r="D104" s="1" t="d">
        <v>2019-01-24T09:01:30.00000029336660775</v>
      </c>
      <c r="E104" s="1" t="d">
        <v>2019-01-24T09:40:38.9999999664723900</v>
      </c>
      <c r="F104" t="s">
        <v>331</v>
      </c>
      <c r="G104">
        <v>3</v>
      </c>
      <c r="H104">
        <v>1</v>
      </c>
      <c r="I104">
        <v>1</v>
      </c>
      <c r="J104">
        <v>4</v>
      </c>
      <c r="K104">
        <v>3</v>
      </c>
      <c r="L104">
        <v>4</v>
      </c>
      <c r="M104">
        <v>4</v>
      </c>
      <c r="N104">
        <v>3</v>
      </c>
      <c r="O104">
        <v>1</v>
      </c>
      <c r="P104">
        <v>2</v>
      </c>
      <c r="Q104">
        <v>5</v>
      </c>
      <c r="R104">
        <v>5</v>
      </c>
      <c r="S104">
        <v>3</v>
      </c>
      <c r="T104">
        <v>3</v>
      </c>
      <c r="U104" s="1" t="d">
        <v>2019-06-19T08:01:47.00000007636845025</v>
      </c>
      <c r="V104" s="1" t="d">
        <v>2019-06-19T10:26:31.00000017788261475</v>
      </c>
      <c r="W104" t="s">
        <v>332</v>
      </c>
      <c r="X104">
        <v>3</v>
      </c>
      <c r="Y104">
        <v>2</v>
      </c>
      <c r="Z104">
        <v>1</v>
      </c>
      <c r="AA104">
        <v>4</v>
      </c>
      <c r="AB104">
        <v>2</v>
      </c>
      <c r="AC104">
        <v>3</v>
      </c>
      <c r="AD104">
        <v>4</v>
      </c>
      <c r="AE104">
        <v>3</v>
      </c>
      <c r="AF104">
        <v>1</v>
      </c>
      <c r="AG104">
        <v>2</v>
      </c>
      <c r="AH104">
        <v>5</v>
      </c>
      <c r="AI104">
        <v>5</v>
      </c>
      <c r="AJ104">
        <v>3</v>
      </c>
      <c r="AK104">
        <v>2</v>
      </c>
      <c r="AM104" t="str">
        <f t="shared" si="28"/>
        <v>60</v>
      </c>
      <c r="AN104">
        <f t="shared" si="29"/>
        <v>0</v>
      </c>
      <c r="AO104">
        <f t="shared" si="30"/>
        <v>0</v>
      </c>
      <c r="AP104" s="15">
        <f t="shared" si="31"/>
        <v>25</v>
      </c>
      <c r="AQ104" s="15">
        <f t="shared" si="32"/>
        <v>50</v>
      </c>
      <c r="AR104" s="15">
        <f t="shared" si="33"/>
        <v>25</v>
      </c>
      <c r="AS104" s="15">
        <f t="shared" si="34"/>
        <v>25</v>
      </c>
      <c r="AT104">
        <f t="shared" si="35"/>
        <v>50</v>
      </c>
      <c r="AU104" s="15">
        <f t="shared" si="36"/>
        <v>100</v>
      </c>
      <c r="AV104" s="15">
        <f t="shared" si="37"/>
        <v>80</v>
      </c>
      <c r="AW104">
        <f t="shared" si="38"/>
        <v>80</v>
      </c>
      <c r="AX104">
        <f t="shared" si="39"/>
        <v>100</v>
      </c>
      <c r="BB104" s="14">
        <f t="shared" si="40"/>
        <v>30.042526785</v>
      </c>
      <c r="BC104" s="14">
        <f t="shared" si="41"/>
        <v>54.018212439499997</v>
      </c>
      <c r="BE104" s="14">
        <f t="shared" si="42"/>
        <v>33.709624325</v>
      </c>
      <c r="BF104" s="14">
        <f t="shared" si="43"/>
        <v>54.794126694499994</v>
      </c>
      <c r="BH104" t="str">
        <f t="shared" si="44"/>
        <v>60</v>
      </c>
      <c r="BI104">
        <f t="shared" si="45"/>
        <v>50</v>
      </c>
      <c r="BJ104">
        <f t="shared" si="46"/>
        <v>0</v>
      </c>
      <c r="BK104" s="15">
        <f t="shared" si="47"/>
        <v>25</v>
      </c>
      <c r="BL104" s="15">
        <f t="shared" si="48"/>
        <v>75</v>
      </c>
      <c r="BM104" s="15">
        <f t="shared" si="49"/>
        <v>50</v>
      </c>
      <c r="BN104" s="15">
        <f t="shared" si="50"/>
        <v>25</v>
      </c>
      <c r="BO104">
        <f t="shared" si="51"/>
        <v>50</v>
      </c>
      <c r="BP104" s="15">
        <f t="shared" si="52"/>
        <v>100</v>
      </c>
      <c r="BQ104" s="15">
        <f t="shared" si="53"/>
        <v>80</v>
      </c>
      <c r="BR104">
        <f t="shared" si="54"/>
        <v>80</v>
      </c>
      <c r="BS104">
        <f t="shared" si="55"/>
        <v>100</v>
      </c>
    </row>
    <row r="105" spans="1:71" x14ac:dyDescent="0.25">
      <c r="A105">
        <v>104</v>
      </c>
      <c r="B105" t="s">
        <v>333</v>
      </c>
      <c r="C105" t="s">
        <v>111</v>
      </c>
      <c r="D105" s="1" t="d">
        <v>2019-01-20T12:00:22.000000113621354375</v>
      </c>
      <c r="E105" s="1" t="d">
        <v>2019-01-20T13:06:19.99999998137354625</v>
      </c>
      <c r="F105" t="s">
        <v>334</v>
      </c>
      <c r="G105">
        <v>2</v>
      </c>
      <c r="H105">
        <v>1</v>
      </c>
      <c r="I105">
        <v>2</v>
      </c>
      <c r="J105">
        <v>5</v>
      </c>
      <c r="K105">
        <v>5</v>
      </c>
      <c r="L105">
        <v>5</v>
      </c>
      <c r="M105">
        <v>4</v>
      </c>
      <c r="N105">
        <v>3</v>
      </c>
      <c r="O105">
        <v>3</v>
      </c>
      <c r="P105">
        <v>3</v>
      </c>
      <c r="Q105">
        <v>2</v>
      </c>
      <c r="R105">
        <v>4</v>
      </c>
      <c r="S105">
        <v>3</v>
      </c>
      <c r="T105">
        <v>3</v>
      </c>
      <c r="U105" s="1" t="d">
        <v>2019-06-13T09:02:07.99999974668026275</v>
      </c>
      <c r="V105" s="1" t="d">
        <v>2019-06-13T09:27:51.00000022910535075</v>
      </c>
      <c r="W105" t="s">
        <v>335</v>
      </c>
      <c r="X105">
        <v>3</v>
      </c>
      <c r="Y105">
        <v>1</v>
      </c>
      <c r="Z105">
        <v>1</v>
      </c>
      <c r="AA105">
        <v>4</v>
      </c>
      <c r="AB105">
        <v>1</v>
      </c>
      <c r="AC105">
        <v>4</v>
      </c>
      <c r="AD105">
        <v>1</v>
      </c>
      <c r="AE105">
        <v>2</v>
      </c>
      <c r="AF105">
        <v>3</v>
      </c>
      <c r="AG105">
        <v>3</v>
      </c>
      <c r="AH105">
        <v>3</v>
      </c>
      <c r="AI105">
        <v>3</v>
      </c>
      <c r="AJ105">
        <v>3</v>
      </c>
      <c r="AK105">
        <v>2</v>
      </c>
      <c r="AM105" t="str">
        <f t="shared" si="28"/>
        <v>85</v>
      </c>
      <c r="AN105">
        <f t="shared" si="29"/>
        <v>0</v>
      </c>
      <c r="AO105">
        <f t="shared" si="30"/>
        <v>50</v>
      </c>
      <c r="AP105" s="15">
        <f t="shared" si="31"/>
        <v>0</v>
      </c>
      <c r="AQ105" s="15">
        <f t="shared" si="32"/>
        <v>0</v>
      </c>
      <c r="AR105" s="15">
        <f t="shared" si="33"/>
        <v>0</v>
      </c>
      <c r="AS105" s="15">
        <f t="shared" si="34"/>
        <v>25</v>
      </c>
      <c r="AT105">
        <f t="shared" si="35"/>
        <v>50</v>
      </c>
      <c r="AU105" s="15">
        <f t="shared" si="36"/>
        <v>60</v>
      </c>
      <c r="AV105" s="15">
        <f t="shared" si="37"/>
        <v>60</v>
      </c>
      <c r="AW105">
        <f t="shared" si="38"/>
        <v>20</v>
      </c>
      <c r="AX105">
        <f t="shared" si="39"/>
        <v>75</v>
      </c>
      <c r="BB105" s="14">
        <f t="shared" si="40"/>
        <v>35.864044082999996</v>
      </c>
      <c r="BC105" s="14">
        <f t="shared" si="41"/>
        <v>33.669301579999996</v>
      </c>
      <c r="BE105" s="14">
        <f t="shared" si="42"/>
        <v>37.680543267999994</v>
      </c>
      <c r="BF105" s="14">
        <f t="shared" si="43"/>
        <v>41.073033301000002</v>
      </c>
      <c r="BH105" t="str">
        <f t="shared" si="44"/>
        <v>60</v>
      </c>
      <c r="BI105">
        <f t="shared" si="45"/>
        <v>0</v>
      </c>
      <c r="BJ105">
        <f t="shared" si="46"/>
        <v>0</v>
      </c>
      <c r="BK105" s="15">
        <f t="shared" si="47"/>
        <v>25</v>
      </c>
      <c r="BL105" s="15">
        <f t="shared" si="48"/>
        <v>100</v>
      </c>
      <c r="BM105" s="15">
        <f t="shared" si="49"/>
        <v>25</v>
      </c>
      <c r="BN105" s="15">
        <f t="shared" si="50"/>
        <v>100</v>
      </c>
      <c r="BO105">
        <f t="shared" si="51"/>
        <v>75</v>
      </c>
      <c r="BP105" s="15">
        <f t="shared" si="52"/>
        <v>60</v>
      </c>
      <c r="BQ105" s="15">
        <f t="shared" si="53"/>
        <v>60</v>
      </c>
      <c r="BR105">
        <f t="shared" si="54"/>
        <v>40</v>
      </c>
      <c r="BS105">
        <f t="shared" si="55"/>
        <v>50</v>
      </c>
    </row>
    <row r="106" spans="1:71" x14ac:dyDescent="0.25">
      <c r="A106">
        <v>105</v>
      </c>
      <c r="B106" t="s">
        <v>336</v>
      </c>
      <c r="C106" t="s">
        <v>111</v>
      </c>
      <c r="D106" s="1" t="d">
        <v>2019-02-07T11:14:36.00000004749745200</v>
      </c>
      <c r="E106" s="1" t="d">
        <v>2019-02-07T12:09:20.9999997541308375</v>
      </c>
      <c r="F106" t="s">
        <v>337</v>
      </c>
      <c r="G106">
        <v>3</v>
      </c>
      <c r="H106">
        <v>2</v>
      </c>
      <c r="I106">
        <v>1</v>
      </c>
      <c r="J106">
        <v>2</v>
      </c>
      <c r="K106">
        <v>2</v>
      </c>
      <c r="L106">
        <v>3</v>
      </c>
      <c r="M106">
        <v>2</v>
      </c>
      <c r="N106">
        <v>2</v>
      </c>
      <c r="O106">
        <v>2</v>
      </c>
      <c r="P106">
        <v>2</v>
      </c>
      <c r="Q106">
        <v>5</v>
      </c>
      <c r="R106">
        <v>4</v>
      </c>
      <c r="S106">
        <v>3</v>
      </c>
      <c r="T106">
        <v>4</v>
      </c>
      <c r="U106" s="1" t="d">
        <v>2019-07-28T18:27:56.9999997457489350</v>
      </c>
      <c r="V106" s="1" t="d">
        <v>2019-07-28T18:46:43.99999979417770800</v>
      </c>
      <c r="W106" t="s">
        <v>338</v>
      </c>
      <c r="X106">
        <v>3</v>
      </c>
      <c r="Y106">
        <v>2</v>
      </c>
      <c r="Z106">
        <v>1</v>
      </c>
      <c r="AA106">
        <v>2</v>
      </c>
      <c r="AB106">
        <v>3</v>
      </c>
      <c r="AC106">
        <v>2</v>
      </c>
      <c r="AD106">
        <v>1</v>
      </c>
      <c r="AE106">
        <v>3</v>
      </c>
      <c r="AF106">
        <v>3</v>
      </c>
      <c r="AG106">
        <v>3</v>
      </c>
      <c r="AH106">
        <v>4</v>
      </c>
      <c r="AI106">
        <v>3</v>
      </c>
      <c r="AJ106">
        <v>2</v>
      </c>
      <c r="AK106">
        <v>1</v>
      </c>
      <c r="AM106" t="str">
        <f t="shared" si="28"/>
        <v>60</v>
      </c>
      <c r="AN106">
        <f t="shared" si="29"/>
        <v>50</v>
      </c>
      <c r="AO106">
        <f t="shared" si="30"/>
        <v>0</v>
      </c>
      <c r="AP106" s="15">
        <f t="shared" si="31"/>
        <v>75</v>
      </c>
      <c r="AQ106" s="15">
        <f t="shared" si="32"/>
        <v>75</v>
      </c>
      <c r="AR106" s="15">
        <f t="shared" si="33"/>
        <v>50</v>
      </c>
      <c r="AS106" s="15">
        <f t="shared" si="34"/>
        <v>75</v>
      </c>
      <c r="AT106">
        <f t="shared" si="35"/>
        <v>75</v>
      </c>
      <c r="AU106" s="15">
        <f t="shared" si="36"/>
        <v>80</v>
      </c>
      <c r="AV106" s="15">
        <f t="shared" si="37"/>
        <v>80</v>
      </c>
      <c r="AW106">
        <f t="shared" si="38"/>
        <v>80</v>
      </c>
      <c r="AX106">
        <f t="shared" si="39"/>
        <v>75</v>
      </c>
      <c r="BB106" s="14">
        <f t="shared" si="40"/>
        <v>39.763436912499998</v>
      </c>
      <c r="BC106" s="14">
        <f t="shared" si="41"/>
        <v>52.067279390999992</v>
      </c>
      <c r="BE106" s="14">
        <f t="shared" si="42"/>
        <v>33.514394672999998</v>
      </c>
      <c r="BF106" s="14">
        <f t="shared" si="43"/>
        <v>49.203204251999999</v>
      </c>
      <c r="BH106" t="str">
        <f t="shared" si="44"/>
        <v>60</v>
      </c>
      <c r="BI106">
        <f t="shared" si="45"/>
        <v>50</v>
      </c>
      <c r="BJ106">
        <f t="shared" si="46"/>
        <v>0</v>
      </c>
      <c r="BK106" s="15">
        <f t="shared" si="47"/>
        <v>75</v>
      </c>
      <c r="BL106" s="15">
        <f t="shared" si="48"/>
        <v>50</v>
      </c>
      <c r="BM106" s="15">
        <f t="shared" si="49"/>
        <v>75</v>
      </c>
      <c r="BN106" s="15">
        <f t="shared" si="50"/>
        <v>100</v>
      </c>
      <c r="BO106">
        <f t="shared" si="51"/>
        <v>50</v>
      </c>
      <c r="BP106" s="15">
        <f t="shared" si="52"/>
        <v>60</v>
      </c>
      <c r="BQ106" s="15">
        <f t="shared" si="53"/>
        <v>60</v>
      </c>
      <c r="BR106">
        <f t="shared" si="54"/>
        <v>60</v>
      </c>
      <c r="BS106">
        <f t="shared" si="55"/>
        <v>50</v>
      </c>
    </row>
    <row r="107" spans="1:71" x14ac:dyDescent="0.25">
      <c r="A107">
        <v>106</v>
      </c>
      <c r="B107" t="s">
        <v>339</v>
      </c>
      <c r="C107" t="s">
        <v>111</v>
      </c>
      <c r="D107" s="1" t="d">
        <v>2019-01-22T07:41:16.0000002337619662125</v>
      </c>
      <c r="E107" s="1" t="d">
        <v>2019-01-22T08:29:49.99999996740371100</v>
      </c>
      <c r="F107" t="s">
        <v>340</v>
      </c>
      <c r="G107">
        <v>4</v>
      </c>
      <c r="H107">
        <v>1</v>
      </c>
      <c r="I107">
        <v>1</v>
      </c>
      <c r="J107">
        <v>3</v>
      </c>
      <c r="K107">
        <v>1</v>
      </c>
      <c r="L107">
        <v>3</v>
      </c>
      <c r="M107">
        <v>2</v>
      </c>
      <c r="N107">
        <v>2</v>
      </c>
      <c r="O107">
        <v>3</v>
      </c>
      <c r="P107">
        <v>2</v>
      </c>
      <c r="Q107">
        <v>2</v>
      </c>
      <c r="R107">
        <v>2</v>
      </c>
      <c r="S107">
        <v>5</v>
      </c>
      <c r="T107">
        <v>4</v>
      </c>
      <c r="U107" s="1" t="d">
        <v>2019-06-25T10:23:47.99999979324638700</v>
      </c>
      <c r="V107" s="1" t="d">
        <v>2019-06-25T11:20:45.00000018160789875</v>
      </c>
      <c r="W107" t="s">
        <v>341</v>
      </c>
      <c r="X107">
        <v>4</v>
      </c>
      <c r="Y107">
        <v>2</v>
      </c>
      <c r="Z107">
        <v>1</v>
      </c>
      <c r="AA107">
        <v>1</v>
      </c>
      <c r="AB107">
        <v>1</v>
      </c>
      <c r="AC107">
        <v>3</v>
      </c>
      <c r="AD107">
        <v>3</v>
      </c>
      <c r="AE107">
        <v>2</v>
      </c>
      <c r="AF107">
        <v>2</v>
      </c>
      <c r="AG107">
        <v>2</v>
      </c>
      <c r="AH107">
        <v>2</v>
      </c>
      <c r="AI107">
        <v>3</v>
      </c>
      <c r="AJ107">
        <v>4</v>
      </c>
      <c r="AK107">
        <v>3</v>
      </c>
      <c r="AM107" t="str">
        <f t="shared" si="28"/>
        <v>35</v>
      </c>
      <c r="AN107">
        <f t="shared" si="29"/>
        <v>0</v>
      </c>
      <c r="AO107">
        <f t="shared" si="30"/>
        <v>0</v>
      </c>
      <c r="AP107" s="15">
        <f t="shared" si="31"/>
        <v>50</v>
      </c>
      <c r="AQ107" s="15">
        <f t="shared" si="32"/>
        <v>100</v>
      </c>
      <c r="AR107" s="15">
        <f t="shared" si="33"/>
        <v>50</v>
      </c>
      <c r="AS107" s="15">
        <f t="shared" si="34"/>
        <v>75</v>
      </c>
      <c r="AT107">
        <f t="shared" si="35"/>
        <v>75</v>
      </c>
      <c r="AU107" s="15">
        <f t="shared" si="36"/>
        <v>60</v>
      </c>
      <c r="AV107" s="15">
        <f t="shared" si="37"/>
        <v>80</v>
      </c>
      <c r="AW107">
        <f t="shared" si="38"/>
        <v>20</v>
      </c>
      <c r="AX107">
        <f t="shared" si="39"/>
        <v>25</v>
      </c>
      <c r="BB107" s="14">
        <f t="shared" si="40"/>
        <v>38.434831895000002</v>
      </c>
      <c r="BC107" s="14">
        <f t="shared" si="41"/>
        <v>37.298566227000002</v>
      </c>
      <c r="BE107" s="14">
        <f t="shared" si="42"/>
        <v>45.3466522975</v>
      </c>
      <c r="BF107" s="14">
        <f t="shared" si="43"/>
        <v>37.145655728000001</v>
      </c>
      <c r="BH107" t="str">
        <f t="shared" si="44"/>
        <v>35</v>
      </c>
      <c r="BI107">
        <f t="shared" si="45"/>
        <v>50</v>
      </c>
      <c r="BJ107">
        <f t="shared" si="46"/>
        <v>0</v>
      </c>
      <c r="BK107" s="15">
        <f t="shared" si="47"/>
        <v>100</v>
      </c>
      <c r="BL107" s="15">
        <f t="shared" si="48"/>
        <v>100</v>
      </c>
      <c r="BM107" s="15">
        <f t="shared" si="49"/>
        <v>50</v>
      </c>
      <c r="BN107" s="15">
        <f t="shared" si="50"/>
        <v>50</v>
      </c>
      <c r="BO107">
        <f t="shared" si="51"/>
        <v>75</v>
      </c>
      <c r="BP107" s="15">
        <f t="shared" si="52"/>
        <v>80</v>
      </c>
      <c r="BQ107" s="15">
        <f t="shared" si="53"/>
        <v>80</v>
      </c>
      <c r="BR107">
        <f t="shared" si="54"/>
        <v>20</v>
      </c>
      <c r="BS107">
        <f t="shared" si="55"/>
        <v>50</v>
      </c>
    </row>
    <row r="108" spans="1:71" x14ac:dyDescent="0.25">
      <c r="A108">
        <v>107</v>
      </c>
      <c r="B108" t="s">
        <v>342</v>
      </c>
      <c r="C108" t="s">
        <v>40</v>
      </c>
      <c r="D108" s="1" t="d">
        <v>2019-02-05T17:27:42.99999982584267600</v>
      </c>
      <c r="E108" s="1" t="d">
        <v>2019-02-05T18:30:19.00000025052577425</v>
      </c>
      <c r="F108" t="s">
        <v>343</v>
      </c>
      <c r="G108">
        <v>3</v>
      </c>
      <c r="H108">
        <v>1</v>
      </c>
      <c r="I108">
        <v>2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2</v>
      </c>
      <c r="P108">
        <v>2</v>
      </c>
      <c r="Q108">
        <v>3</v>
      </c>
      <c r="R108">
        <v>2</v>
      </c>
      <c r="S108">
        <v>4</v>
      </c>
      <c r="T108">
        <v>3</v>
      </c>
      <c r="U108" s="1" t="d">
        <v>2019-06-08T13:55:10.00000031199306150</v>
      </c>
      <c r="V108" s="1" t="d">
        <v>2019-06-08T14:43:18.99999985937029275</v>
      </c>
      <c r="W108" t="s">
        <v>344</v>
      </c>
      <c r="X108">
        <v>3</v>
      </c>
      <c r="Y108">
        <v>2</v>
      </c>
      <c r="Z108">
        <v>2</v>
      </c>
      <c r="AA108">
        <v>5</v>
      </c>
      <c r="AB108">
        <v>5</v>
      </c>
      <c r="AC108">
        <v>4</v>
      </c>
      <c r="AD108">
        <v>4</v>
      </c>
      <c r="AE108">
        <v>4</v>
      </c>
      <c r="AF108">
        <v>2</v>
      </c>
      <c r="AG108">
        <v>3</v>
      </c>
      <c r="AH108">
        <v>5</v>
      </c>
      <c r="AI108">
        <v>4</v>
      </c>
      <c r="AJ108">
        <v>3</v>
      </c>
      <c r="AK108">
        <v>2</v>
      </c>
      <c r="AM108" t="str">
        <f t="shared" si="28"/>
        <v>60</v>
      </c>
      <c r="AN108">
        <f t="shared" si="29"/>
        <v>0</v>
      </c>
      <c r="AO108">
        <f t="shared" si="30"/>
        <v>50</v>
      </c>
      <c r="AP108" s="15">
        <f t="shared" si="31"/>
        <v>25</v>
      </c>
      <c r="AQ108" s="15">
        <f t="shared" si="32"/>
        <v>25</v>
      </c>
      <c r="AR108" s="15">
        <f t="shared" si="33"/>
        <v>25</v>
      </c>
      <c r="AS108" s="15">
        <f t="shared" si="34"/>
        <v>25</v>
      </c>
      <c r="AT108">
        <f t="shared" si="35"/>
        <v>25</v>
      </c>
      <c r="AU108" s="15">
        <f t="shared" si="36"/>
        <v>80</v>
      </c>
      <c r="AV108" s="15">
        <f t="shared" si="37"/>
        <v>80</v>
      </c>
      <c r="AW108">
        <f t="shared" si="38"/>
        <v>40</v>
      </c>
      <c r="AX108">
        <f t="shared" si="39"/>
        <v>25</v>
      </c>
      <c r="BB108" s="14">
        <f t="shared" si="40"/>
        <v>31.218114717499997</v>
      </c>
      <c r="BC108" s="14">
        <f t="shared" si="41"/>
        <v>37.358611873999997</v>
      </c>
      <c r="BE108" s="14">
        <f t="shared" si="42"/>
        <v>28.321624815499998</v>
      </c>
      <c r="BF108" s="14">
        <f t="shared" si="43"/>
        <v>46.844607638999996</v>
      </c>
      <c r="BH108" t="str">
        <f t="shared" si="44"/>
        <v>60</v>
      </c>
      <c r="BI108">
        <f t="shared" si="45"/>
        <v>50</v>
      </c>
      <c r="BJ108">
        <f t="shared" si="46"/>
        <v>50</v>
      </c>
      <c r="BK108" s="15">
        <f t="shared" si="47"/>
        <v>0</v>
      </c>
      <c r="BL108" s="15">
        <f t="shared" si="48"/>
        <v>0</v>
      </c>
      <c r="BM108" s="15">
        <f t="shared" si="49"/>
        <v>25</v>
      </c>
      <c r="BN108" s="15">
        <f t="shared" si="50"/>
        <v>25</v>
      </c>
      <c r="BO108">
        <f t="shared" si="51"/>
        <v>25</v>
      </c>
      <c r="BP108" s="15">
        <f t="shared" si="52"/>
        <v>80</v>
      </c>
      <c r="BQ108" s="15">
        <f t="shared" si="53"/>
        <v>60</v>
      </c>
      <c r="BR108">
        <f t="shared" si="54"/>
        <v>80</v>
      </c>
      <c r="BS108">
        <f t="shared" si="55"/>
        <v>75</v>
      </c>
    </row>
    <row r="109" spans="1:71" x14ac:dyDescent="0.25">
      <c r="A109">
        <v>108</v>
      </c>
      <c r="B109" t="s">
        <v>345</v>
      </c>
      <c r="C109" t="s">
        <v>111</v>
      </c>
      <c r="D109" s="1" t="d">
        <v>2019-02-06T13:01:44.99999981839210125</v>
      </c>
      <c r="E109" s="1" t="d">
        <v>2019-02-06T14:06:16.00000009406358300</v>
      </c>
      <c r="F109" t="s">
        <v>346</v>
      </c>
      <c r="G109">
        <v>2</v>
      </c>
      <c r="H109">
        <v>2</v>
      </c>
      <c r="I109">
        <v>2</v>
      </c>
      <c r="J109">
        <v>2</v>
      </c>
      <c r="K109">
        <v>3</v>
      </c>
      <c r="L109">
        <v>2</v>
      </c>
      <c r="M109">
        <v>2</v>
      </c>
      <c r="N109">
        <v>4</v>
      </c>
      <c r="O109">
        <v>3</v>
      </c>
      <c r="P109">
        <v>5</v>
      </c>
      <c r="Q109">
        <v>3</v>
      </c>
      <c r="R109">
        <v>3</v>
      </c>
      <c r="S109">
        <v>3</v>
      </c>
      <c r="T109">
        <v>3</v>
      </c>
      <c r="U109" s="1" t="d">
        <v>2019-06-27T09:08:48.99999981746077350</v>
      </c>
      <c r="V109" s="1" t="d">
        <v>2019-06-27T09:39:38.99999977089464925</v>
      </c>
      <c r="W109" t="s">
        <v>347</v>
      </c>
      <c r="X109">
        <v>2</v>
      </c>
      <c r="Y109">
        <v>2</v>
      </c>
      <c r="Z109">
        <v>2</v>
      </c>
      <c r="AA109">
        <v>3</v>
      </c>
      <c r="AB109">
        <v>3</v>
      </c>
      <c r="AC109">
        <v>2</v>
      </c>
      <c r="AD109">
        <v>2</v>
      </c>
      <c r="AE109">
        <v>4</v>
      </c>
      <c r="AF109">
        <v>3</v>
      </c>
      <c r="AG109">
        <v>2</v>
      </c>
      <c r="AH109">
        <v>3</v>
      </c>
      <c r="AI109">
        <v>4</v>
      </c>
      <c r="AJ109">
        <v>3</v>
      </c>
      <c r="AK109">
        <v>3</v>
      </c>
      <c r="AM109" t="str">
        <f t="shared" si="28"/>
        <v>85</v>
      </c>
      <c r="AN109">
        <f t="shared" si="29"/>
        <v>50</v>
      </c>
      <c r="AO109">
        <f t="shared" si="30"/>
        <v>50</v>
      </c>
      <c r="AP109" s="15">
        <f t="shared" si="31"/>
        <v>75</v>
      </c>
      <c r="AQ109" s="15">
        <f t="shared" si="32"/>
        <v>50</v>
      </c>
      <c r="AR109" s="15">
        <f t="shared" si="33"/>
        <v>75</v>
      </c>
      <c r="AS109" s="15">
        <f t="shared" si="34"/>
        <v>75</v>
      </c>
      <c r="AT109">
        <f t="shared" si="35"/>
        <v>25</v>
      </c>
      <c r="AU109" s="15">
        <f t="shared" si="36"/>
        <v>60</v>
      </c>
      <c r="AV109" s="15">
        <f t="shared" si="37"/>
        <v>20</v>
      </c>
      <c r="AW109">
        <f t="shared" si="38"/>
        <v>40</v>
      </c>
      <c r="AX109">
        <f t="shared" si="39"/>
        <v>50</v>
      </c>
      <c r="BB109" s="14">
        <f t="shared" si="40"/>
        <v>36.538351071500003</v>
      </c>
      <c r="BC109" s="14">
        <f t="shared" si="41"/>
        <v>40.4242612595</v>
      </c>
      <c r="BE109" s="14">
        <f t="shared" si="42"/>
        <v>36.659284964999998</v>
      </c>
      <c r="BF109" s="14">
        <f t="shared" si="43"/>
        <v>47.933562632999994</v>
      </c>
      <c r="BH109" t="str">
        <f t="shared" si="44"/>
        <v>85</v>
      </c>
      <c r="BI109">
        <f t="shared" si="45"/>
        <v>50</v>
      </c>
      <c r="BJ109">
        <f t="shared" si="46"/>
        <v>50</v>
      </c>
      <c r="BK109" s="15">
        <f t="shared" si="47"/>
        <v>50</v>
      </c>
      <c r="BL109" s="15">
        <f t="shared" si="48"/>
        <v>50</v>
      </c>
      <c r="BM109" s="15">
        <f t="shared" si="49"/>
        <v>75</v>
      </c>
      <c r="BN109" s="15">
        <f t="shared" si="50"/>
        <v>75</v>
      </c>
      <c r="BO109">
        <f t="shared" si="51"/>
        <v>25</v>
      </c>
      <c r="BP109" s="15">
        <f t="shared" si="52"/>
        <v>60</v>
      </c>
      <c r="BQ109" s="15">
        <f t="shared" si="53"/>
        <v>80</v>
      </c>
      <c r="BR109">
        <f t="shared" si="54"/>
        <v>40</v>
      </c>
      <c r="BS109">
        <f t="shared" si="55"/>
        <v>75</v>
      </c>
    </row>
    <row r="110" spans="1:71" x14ac:dyDescent="0.25">
      <c r="A110">
        <v>109</v>
      </c>
      <c r="B110" t="s">
        <v>348</v>
      </c>
      <c r="C110" t="s">
        <v>111</v>
      </c>
      <c r="D110" s="1" t="d">
        <v>2019-03-13T18:40:29.99999974854290475</v>
      </c>
      <c r="E110" s="1" t="d">
        <v>2019-03-13T19:15:53.00000002607703525</v>
      </c>
      <c r="F110" t="s">
        <v>349</v>
      </c>
      <c r="G110">
        <v>2</v>
      </c>
      <c r="H110">
        <v>2</v>
      </c>
      <c r="I110">
        <v>3</v>
      </c>
      <c r="J110">
        <v>2</v>
      </c>
      <c r="K110">
        <v>5</v>
      </c>
      <c r="L110">
        <v>4</v>
      </c>
      <c r="M110">
        <v>3</v>
      </c>
      <c r="N110">
        <v>5</v>
      </c>
      <c r="O110">
        <v>2</v>
      </c>
      <c r="P110">
        <v>2</v>
      </c>
      <c r="Q110">
        <v>1</v>
      </c>
      <c r="R110">
        <v>5</v>
      </c>
      <c r="S110">
        <v>1</v>
      </c>
      <c r="T110">
        <v>2</v>
      </c>
      <c r="U110" s="1" t="d">
        <v>2019-07-28T11:25:14.00000019930303150</v>
      </c>
      <c r="V110" s="1" t="d">
        <v>2019-07-28T11:53:18.9999999292194825</v>
      </c>
      <c r="W110" t="s">
        <v>350</v>
      </c>
      <c r="X110">
        <v>2</v>
      </c>
      <c r="Y110">
        <v>3</v>
      </c>
      <c r="Z110">
        <v>3</v>
      </c>
      <c r="AA110">
        <v>3</v>
      </c>
      <c r="AB110">
        <v>4</v>
      </c>
      <c r="AC110">
        <v>4</v>
      </c>
      <c r="AD110">
        <v>4</v>
      </c>
      <c r="AE110">
        <v>5</v>
      </c>
      <c r="AF110">
        <v>3</v>
      </c>
      <c r="AG110">
        <v>2</v>
      </c>
      <c r="AH110">
        <v>3</v>
      </c>
      <c r="AI110">
        <v>5</v>
      </c>
      <c r="AJ110">
        <v>1</v>
      </c>
      <c r="AK110">
        <v>2</v>
      </c>
      <c r="AM110" t="str">
        <f t="shared" si="28"/>
        <v>85</v>
      </c>
      <c r="AN110">
        <f t="shared" si="29"/>
        <v>50</v>
      </c>
      <c r="AO110">
        <f t="shared" si="30"/>
        <v>100</v>
      </c>
      <c r="AP110" s="15">
        <f t="shared" si="31"/>
        <v>75</v>
      </c>
      <c r="AQ110" s="15">
        <f t="shared" si="32"/>
        <v>0</v>
      </c>
      <c r="AR110" s="15">
        <f t="shared" si="33"/>
        <v>25</v>
      </c>
      <c r="AS110" s="15">
        <f t="shared" si="34"/>
        <v>50</v>
      </c>
      <c r="AT110">
        <f t="shared" si="35"/>
        <v>0</v>
      </c>
      <c r="AU110" s="15">
        <f t="shared" si="36"/>
        <v>80</v>
      </c>
      <c r="AV110" s="15">
        <f t="shared" si="37"/>
        <v>80</v>
      </c>
      <c r="AW110">
        <f t="shared" si="38"/>
        <v>0</v>
      </c>
      <c r="AX110">
        <f t="shared" si="39"/>
        <v>100</v>
      </c>
      <c r="BB110" s="14">
        <f t="shared" si="40"/>
        <v>40.224595117500002</v>
      </c>
      <c r="BC110" s="14">
        <f t="shared" si="41"/>
        <v>38.138500117</v>
      </c>
      <c r="BE110" s="14">
        <f t="shared" si="42"/>
        <v>43.059668297499996</v>
      </c>
      <c r="BF110" s="14">
        <f t="shared" si="43"/>
        <v>38.141776420500001</v>
      </c>
      <c r="BH110" t="str">
        <f t="shared" si="44"/>
        <v>85</v>
      </c>
      <c r="BI110">
        <f t="shared" si="45"/>
        <v>100</v>
      </c>
      <c r="BJ110">
        <f t="shared" si="46"/>
        <v>100</v>
      </c>
      <c r="BK110" s="15">
        <f t="shared" si="47"/>
        <v>50</v>
      </c>
      <c r="BL110" s="15">
        <f t="shared" si="48"/>
        <v>25</v>
      </c>
      <c r="BM110" s="15">
        <f t="shared" si="49"/>
        <v>25</v>
      </c>
      <c r="BN110" s="15">
        <f t="shared" si="50"/>
        <v>25</v>
      </c>
      <c r="BO110">
        <f t="shared" si="51"/>
        <v>0</v>
      </c>
      <c r="BP110" s="15">
        <f t="shared" si="52"/>
        <v>60</v>
      </c>
      <c r="BQ110" s="15">
        <f t="shared" si="53"/>
        <v>80</v>
      </c>
      <c r="BR110">
        <f t="shared" si="54"/>
        <v>40</v>
      </c>
      <c r="BS110">
        <f t="shared" si="55"/>
        <v>100</v>
      </c>
    </row>
    <row r="111" spans="1:71" x14ac:dyDescent="0.25">
      <c r="A111">
        <v>110</v>
      </c>
      <c r="B111" t="s">
        <v>351</v>
      </c>
      <c r="C111" t="s">
        <v>111</v>
      </c>
      <c r="D111" s="1" t="d">
        <v>2019-03-18T13:01:33.99999976158141900</v>
      </c>
      <c r="E111" s="1" t="d">
        <v>2019-03-18T13:41:02.0000001043081275</v>
      </c>
      <c r="F111" t="s">
        <v>352</v>
      </c>
      <c r="G111">
        <v>2</v>
      </c>
      <c r="H111">
        <v>1</v>
      </c>
      <c r="I111">
        <v>1</v>
      </c>
      <c r="J111">
        <v>3</v>
      </c>
      <c r="K111">
        <v>3</v>
      </c>
      <c r="L111">
        <v>4</v>
      </c>
      <c r="M111">
        <v>3</v>
      </c>
      <c r="N111">
        <v>2</v>
      </c>
      <c r="O111">
        <v>4</v>
      </c>
      <c r="P111">
        <v>3</v>
      </c>
      <c r="Q111">
        <v>3</v>
      </c>
      <c r="R111">
        <v>4</v>
      </c>
      <c r="S111">
        <v>3</v>
      </c>
      <c r="T111">
        <v>3</v>
      </c>
      <c r="U111" s="1" t="d">
        <v>2019-07-23T11:19:51.00000013131648375</v>
      </c>
      <c r="V111" s="1" t="d">
        <v>2019-07-23T11:50:45.99999999627470925</v>
      </c>
      <c r="W111" t="s">
        <v>353</v>
      </c>
      <c r="X111">
        <v>3</v>
      </c>
      <c r="Y111">
        <v>2</v>
      </c>
      <c r="Z111">
        <v>2</v>
      </c>
      <c r="AA111">
        <v>2</v>
      </c>
      <c r="AB111">
        <v>3</v>
      </c>
      <c r="AC111">
        <v>2</v>
      </c>
      <c r="AD111">
        <v>3</v>
      </c>
      <c r="AE111">
        <v>3</v>
      </c>
      <c r="AF111">
        <v>4</v>
      </c>
      <c r="AG111">
        <v>3</v>
      </c>
      <c r="AH111">
        <v>2</v>
      </c>
      <c r="AI111">
        <v>3</v>
      </c>
      <c r="AJ111">
        <v>3</v>
      </c>
      <c r="AK111">
        <v>3</v>
      </c>
      <c r="AM111" t="str">
        <f t="shared" si="28"/>
        <v>85</v>
      </c>
      <c r="AN111">
        <f t="shared" si="29"/>
        <v>0</v>
      </c>
      <c r="AO111">
        <f t="shared" si="30"/>
        <v>0</v>
      </c>
      <c r="AP111" s="15">
        <f t="shared" si="31"/>
        <v>50</v>
      </c>
      <c r="AQ111" s="15">
        <f t="shared" si="32"/>
        <v>50</v>
      </c>
      <c r="AR111" s="15">
        <f t="shared" si="33"/>
        <v>25</v>
      </c>
      <c r="AS111" s="15">
        <f t="shared" si="34"/>
        <v>50</v>
      </c>
      <c r="AT111">
        <f t="shared" si="35"/>
        <v>75</v>
      </c>
      <c r="AU111" s="15">
        <f t="shared" si="36"/>
        <v>40</v>
      </c>
      <c r="AV111" s="15">
        <f t="shared" si="37"/>
        <v>60</v>
      </c>
      <c r="AW111">
        <f t="shared" si="38"/>
        <v>40</v>
      </c>
      <c r="AX111">
        <f t="shared" si="39"/>
        <v>75</v>
      </c>
      <c r="BB111" s="14">
        <f t="shared" si="40"/>
        <v>40.298517773</v>
      </c>
      <c r="BC111" s="14">
        <f t="shared" si="41"/>
        <v>38.135957192499994</v>
      </c>
      <c r="BE111" s="14">
        <f t="shared" si="42"/>
        <v>41.852381707999996</v>
      </c>
      <c r="BF111" s="14">
        <f t="shared" si="43"/>
        <v>35.417403618999998</v>
      </c>
      <c r="BH111" t="str">
        <f t="shared" si="44"/>
        <v>60</v>
      </c>
      <c r="BI111">
        <f t="shared" si="45"/>
        <v>50</v>
      </c>
      <c r="BJ111">
        <f t="shared" si="46"/>
        <v>50</v>
      </c>
      <c r="BK111" s="15">
        <f t="shared" si="47"/>
        <v>75</v>
      </c>
      <c r="BL111" s="15">
        <f t="shared" si="48"/>
        <v>50</v>
      </c>
      <c r="BM111" s="15">
        <f t="shared" si="49"/>
        <v>75</v>
      </c>
      <c r="BN111" s="15">
        <f t="shared" si="50"/>
        <v>50</v>
      </c>
      <c r="BO111">
        <f t="shared" si="51"/>
        <v>50</v>
      </c>
      <c r="BP111" s="15">
        <f t="shared" si="52"/>
        <v>40</v>
      </c>
      <c r="BQ111" s="15">
        <f t="shared" si="53"/>
        <v>60</v>
      </c>
      <c r="BR111">
        <f t="shared" si="54"/>
        <v>20</v>
      </c>
      <c r="BS111">
        <f t="shared" si="55"/>
        <v>50</v>
      </c>
    </row>
    <row r="112" spans="1:71" x14ac:dyDescent="0.25">
      <c r="A112">
        <v>111</v>
      </c>
      <c r="B112" t="s">
        <v>354</v>
      </c>
      <c r="C112" t="s">
        <v>111</v>
      </c>
      <c r="D112" s="1" t="d">
        <v>2019-03-20T11:08:33.00000005867332425</v>
      </c>
      <c r="E112" s="1" t="d">
        <v>2019-03-20T12:15:56.99999991338699850</v>
      </c>
      <c r="F112" t="s">
        <v>355</v>
      </c>
      <c r="G112">
        <v>2</v>
      </c>
      <c r="H112">
        <v>2</v>
      </c>
      <c r="I112">
        <v>3</v>
      </c>
      <c r="J112">
        <v>3</v>
      </c>
      <c r="K112">
        <v>3</v>
      </c>
      <c r="L112">
        <v>4</v>
      </c>
      <c r="M112">
        <v>4</v>
      </c>
      <c r="N112">
        <v>4</v>
      </c>
      <c r="O112">
        <v>3</v>
      </c>
      <c r="P112">
        <v>1</v>
      </c>
      <c r="Q112">
        <v>5</v>
      </c>
      <c r="R112">
        <v>3</v>
      </c>
      <c r="S112">
        <v>2</v>
      </c>
      <c r="T112">
        <v>2</v>
      </c>
      <c r="U112" s="1" t="d">
        <v>2019-08-19T18:23:35.999999712221324325</v>
      </c>
      <c r="V112" s="1" t="d">
        <v>2019-08-19T18:55:54.00000012014061150</v>
      </c>
      <c r="W112" t="s">
        <v>356</v>
      </c>
      <c r="X112">
        <v>1</v>
      </c>
      <c r="Y112">
        <v>2</v>
      </c>
      <c r="Z112">
        <v>2</v>
      </c>
      <c r="AA112">
        <v>3</v>
      </c>
      <c r="AB112">
        <v>3</v>
      </c>
      <c r="AC112">
        <v>3</v>
      </c>
      <c r="AD112">
        <v>3</v>
      </c>
      <c r="AE112">
        <v>4</v>
      </c>
      <c r="AF112">
        <v>4</v>
      </c>
      <c r="AG112">
        <v>1</v>
      </c>
      <c r="AH112">
        <v>2</v>
      </c>
      <c r="AI112">
        <v>4</v>
      </c>
      <c r="AJ112">
        <v>2</v>
      </c>
      <c r="AK112">
        <v>2</v>
      </c>
      <c r="AM112" t="str">
        <f t="shared" si="28"/>
        <v>85</v>
      </c>
      <c r="AN112">
        <f t="shared" si="29"/>
        <v>50</v>
      </c>
      <c r="AO112">
        <f t="shared" si="30"/>
        <v>100</v>
      </c>
      <c r="AP112" s="15">
        <f t="shared" si="31"/>
        <v>50</v>
      </c>
      <c r="AQ112" s="15">
        <f t="shared" si="32"/>
        <v>50</v>
      </c>
      <c r="AR112" s="15">
        <f t="shared" si="33"/>
        <v>25</v>
      </c>
      <c r="AS112" s="15">
        <f t="shared" si="34"/>
        <v>25</v>
      </c>
      <c r="AT112">
        <f t="shared" si="35"/>
        <v>25</v>
      </c>
      <c r="AU112" s="15">
        <f t="shared" si="36"/>
        <v>60</v>
      </c>
      <c r="AV112" s="15">
        <f t="shared" si="37"/>
        <v>100</v>
      </c>
      <c r="AW112">
        <f t="shared" si="38"/>
        <v>80</v>
      </c>
      <c r="AX112">
        <f t="shared" si="39"/>
        <v>50</v>
      </c>
      <c r="BB112" s="14">
        <f t="shared" si="40"/>
        <v>43.244093244499993</v>
      </c>
      <c r="BC112" s="14">
        <f t="shared" si="41"/>
        <v>40.626145544499998</v>
      </c>
      <c r="BE112" s="14">
        <f t="shared" si="42"/>
        <v>42.59461519349999</v>
      </c>
      <c r="BF112" s="14">
        <f t="shared" si="43"/>
        <v>38.9436572105</v>
      </c>
      <c r="BH112" t="str">
        <f t="shared" si="44"/>
        <v>100</v>
      </c>
      <c r="BI112">
        <f t="shared" si="45"/>
        <v>50</v>
      </c>
      <c r="BJ112">
        <f t="shared" si="46"/>
        <v>50</v>
      </c>
      <c r="BK112" s="15">
        <f t="shared" si="47"/>
        <v>50</v>
      </c>
      <c r="BL112" s="15">
        <f t="shared" si="48"/>
        <v>50</v>
      </c>
      <c r="BM112" s="15">
        <f t="shared" si="49"/>
        <v>50</v>
      </c>
      <c r="BN112" s="15">
        <f t="shared" si="50"/>
        <v>50</v>
      </c>
      <c r="BO112">
        <f t="shared" si="51"/>
        <v>25</v>
      </c>
      <c r="BP112" s="15">
        <f t="shared" si="52"/>
        <v>40</v>
      </c>
      <c r="BQ112" s="15">
        <f t="shared" si="53"/>
        <v>100</v>
      </c>
      <c r="BR112">
        <f t="shared" si="54"/>
        <v>20</v>
      </c>
      <c r="BS112">
        <f t="shared" si="55"/>
        <v>75</v>
      </c>
    </row>
    <row r="113" spans="1:71" x14ac:dyDescent="0.25">
      <c r="A113">
        <v>112</v>
      </c>
      <c r="B113" t="s">
        <v>357</v>
      </c>
      <c r="C113" t="s">
        <v>111</v>
      </c>
      <c r="D113" s="1" t="d">
        <v>2019-04-23T09:39:03.99999976158141900</v>
      </c>
      <c r="E113" s="1" t="d">
        <v>2019-04-23T10:28:27.0000002626329675</v>
      </c>
      <c r="F113" t="s">
        <v>358</v>
      </c>
      <c r="G113">
        <v>1</v>
      </c>
      <c r="H113">
        <v>1</v>
      </c>
      <c r="I113">
        <v>2</v>
      </c>
      <c r="J113">
        <v>2</v>
      </c>
      <c r="K113">
        <v>2</v>
      </c>
      <c r="L113">
        <v>3</v>
      </c>
      <c r="M113">
        <v>3</v>
      </c>
      <c r="N113">
        <v>2</v>
      </c>
      <c r="O113">
        <v>2</v>
      </c>
      <c r="P113">
        <v>2</v>
      </c>
      <c r="Q113">
        <v>5</v>
      </c>
      <c r="R113">
        <v>4</v>
      </c>
      <c r="S113">
        <v>1</v>
      </c>
      <c r="T113">
        <v>1</v>
      </c>
      <c r="U113" s="1" t="d">
        <v>2019-08-30T12:27:29.00000011548399975</v>
      </c>
      <c r="V113" s="1" t="d">
        <v>2019-08-30T13:00:15.00000015366822150</v>
      </c>
      <c r="W113" t="s">
        <v>359</v>
      </c>
      <c r="X113">
        <v>3</v>
      </c>
      <c r="Y113">
        <v>1</v>
      </c>
      <c r="Z113">
        <v>2</v>
      </c>
      <c r="AA113">
        <v>3</v>
      </c>
      <c r="AB113">
        <v>3</v>
      </c>
      <c r="AC113">
        <v>4</v>
      </c>
      <c r="AD113">
        <v>3</v>
      </c>
      <c r="AE113">
        <v>3</v>
      </c>
      <c r="AF113">
        <v>2</v>
      </c>
      <c r="AG113">
        <v>4</v>
      </c>
      <c r="AH113">
        <v>3</v>
      </c>
      <c r="AI113">
        <v>4</v>
      </c>
      <c r="AJ113">
        <v>4</v>
      </c>
      <c r="AK113">
        <v>3</v>
      </c>
      <c r="AM113" t="str">
        <f t="shared" si="28"/>
        <v>100</v>
      </c>
      <c r="AN113">
        <f t="shared" si="29"/>
        <v>0</v>
      </c>
      <c r="AO113">
        <f t="shared" si="30"/>
        <v>50</v>
      </c>
      <c r="AP113" s="15">
        <f t="shared" si="31"/>
        <v>75</v>
      </c>
      <c r="AQ113" s="15">
        <f t="shared" si="32"/>
        <v>75</v>
      </c>
      <c r="AR113" s="15">
        <f t="shared" si="33"/>
        <v>50</v>
      </c>
      <c r="AS113" s="15">
        <f t="shared" si="34"/>
        <v>50</v>
      </c>
      <c r="AT113">
        <f t="shared" si="35"/>
        <v>75</v>
      </c>
      <c r="AU113" s="15">
        <f t="shared" si="36"/>
        <v>80</v>
      </c>
      <c r="AV113" s="15">
        <f t="shared" si="37"/>
        <v>80</v>
      </c>
      <c r="AW113">
        <f t="shared" si="38"/>
        <v>80</v>
      </c>
      <c r="AX113">
        <f t="shared" si="39"/>
        <v>75</v>
      </c>
      <c r="BB113" s="14">
        <f t="shared" si="40"/>
        <v>44.188861536499999</v>
      </c>
      <c r="BC113" s="14">
        <f t="shared" si="41"/>
        <v>50.204908918499996</v>
      </c>
      <c r="BE113" s="14">
        <f t="shared" si="42"/>
        <v>36.4387885935</v>
      </c>
      <c r="BF113" s="14">
        <f t="shared" si="43"/>
        <v>40.1770798525</v>
      </c>
      <c r="BH113" t="str">
        <f t="shared" si="44"/>
        <v>60</v>
      </c>
      <c r="BI113">
        <f t="shared" si="45"/>
        <v>0</v>
      </c>
      <c r="BJ113">
        <f t="shared" si="46"/>
        <v>50</v>
      </c>
      <c r="BK113" s="15">
        <f t="shared" si="47"/>
        <v>50</v>
      </c>
      <c r="BL113" s="15">
        <f t="shared" si="48"/>
        <v>50</v>
      </c>
      <c r="BM113" s="15">
        <f t="shared" si="49"/>
        <v>25</v>
      </c>
      <c r="BN113" s="15">
        <f t="shared" si="50"/>
        <v>50</v>
      </c>
      <c r="BO113">
        <f t="shared" si="51"/>
        <v>50</v>
      </c>
      <c r="BP113" s="15">
        <f t="shared" si="52"/>
        <v>80</v>
      </c>
      <c r="BQ113" s="15">
        <f t="shared" si="53"/>
        <v>40</v>
      </c>
      <c r="BR113">
        <f t="shared" si="54"/>
        <v>40</v>
      </c>
      <c r="BS113">
        <f t="shared" si="55"/>
        <v>75</v>
      </c>
    </row>
    <row r="114" spans="1:71" x14ac:dyDescent="0.25">
      <c r="A114">
        <v>113</v>
      </c>
      <c r="B114" t="s">
        <v>360</v>
      </c>
      <c r="C114" t="s">
        <v>111</v>
      </c>
      <c r="D114" s="1" t="d">
        <v>2019-04-24T11:11:45.9999999124556775</v>
      </c>
      <c r="E114" s="1" t="d">
        <v>2019-04-24T11:43:23.99999977089464925</v>
      </c>
      <c r="F114" t="s">
        <v>361</v>
      </c>
      <c r="G114">
        <v>3</v>
      </c>
      <c r="H114">
        <v>1</v>
      </c>
      <c r="I114">
        <v>1</v>
      </c>
      <c r="J114">
        <v>3</v>
      </c>
      <c r="K114">
        <v>2</v>
      </c>
      <c r="L114">
        <v>3</v>
      </c>
      <c r="M114">
        <v>3</v>
      </c>
      <c r="N114">
        <v>2</v>
      </c>
      <c r="O114">
        <v>3</v>
      </c>
      <c r="P114">
        <v>4</v>
      </c>
      <c r="Q114">
        <v>2</v>
      </c>
      <c r="R114">
        <v>2</v>
      </c>
      <c r="S114">
        <v>5</v>
      </c>
      <c r="T114">
        <v>4</v>
      </c>
      <c r="AM114" t="str">
        <f t="shared" si="28"/>
        <v>60</v>
      </c>
      <c r="AN114">
        <f t="shared" si="29"/>
        <v>0</v>
      </c>
      <c r="AO114">
        <f t="shared" si="30"/>
        <v>0</v>
      </c>
      <c r="AP114" s="15">
        <f t="shared" si="31"/>
        <v>50</v>
      </c>
      <c r="AQ114" s="15">
        <f t="shared" si="32"/>
        <v>75</v>
      </c>
      <c r="AR114" s="15">
        <f t="shared" si="33"/>
        <v>50</v>
      </c>
      <c r="AS114" s="15">
        <f t="shared" si="34"/>
        <v>50</v>
      </c>
      <c r="AT114">
        <f t="shared" si="35"/>
        <v>75</v>
      </c>
      <c r="AU114" s="15">
        <f t="shared" si="36"/>
        <v>60</v>
      </c>
      <c r="AV114" s="15">
        <f t="shared" si="37"/>
        <v>40</v>
      </c>
      <c r="AW114">
        <f t="shared" si="38"/>
        <v>20</v>
      </c>
      <c r="AX114">
        <f t="shared" si="39"/>
        <v>25</v>
      </c>
      <c r="BB114" s="14">
        <f t="shared" si="40"/>
        <v>38.145252848499993</v>
      </c>
      <c r="BC114" s="14">
        <f t="shared" si="41"/>
        <v>33.093079575499999</v>
      </c>
      <c r="BK114" s="15"/>
      <c r="BL114" s="15"/>
      <c r="BM114" s="15"/>
      <c r="BN114" s="15"/>
      <c r="BP114" s="15"/>
      <c r="BQ114" s="15"/>
    </row>
    <row r="115" spans="1:71" x14ac:dyDescent="0.25">
      <c r="A115">
        <v>114</v>
      </c>
      <c r="B115" t="s">
        <v>362</v>
      </c>
      <c r="C115" t="s">
        <v>111</v>
      </c>
      <c r="D115" s="1" t="d">
        <v>2019-04-23T12:22:50.999999879859387825</v>
      </c>
      <c r="E115" s="1" t="d">
        <v>2019-04-23T12:57:20.999999712221324325</v>
      </c>
      <c r="F115" t="s">
        <v>363</v>
      </c>
      <c r="G115">
        <v>2</v>
      </c>
      <c r="H115">
        <v>2</v>
      </c>
      <c r="I115">
        <v>2</v>
      </c>
      <c r="J115">
        <v>4</v>
      </c>
      <c r="K115">
        <v>4</v>
      </c>
      <c r="L115">
        <v>4</v>
      </c>
      <c r="M115">
        <v>4</v>
      </c>
      <c r="N115">
        <v>3</v>
      </c>
      <c r="O115">
        <v>2</v>
      </c>
      <c r="P115">
        <v>3</v>
      </c>
      <c r="Q115">
        <v>4</v>
      </c>
      <c r="R115">
        <v>4</v>
      </c>
      <c r="S115">
        <v>2</v>
      </c>
      <c r="T115">
        <v>2</v>
      </c>
      <c r="AM115" t="str">
        <f t="shared" si="28"/>
        <v>85</v>
      </c>
      <c r="AN115">
        <f t="shared" si="29"/>
        <v>50</v>
      </c>
      <c r="AO115">
        <f t="shared" si="30"/>
        <v>50</v>
      </c>
      <c r="AP115" s="15">
        <f t="shared" si="31"/>
        <v>25</v>
      </c>
      <c r="AQ115" s="15">
        <f t="shared" si="32"/>
        <v>25</v>
      </c>
      <c r="AR115" s="15">
        <f t="shared" si="33"/>
        <v>25</v>
      </c>
      <c r="AS115" s="15">
        <f t="shared" si="34"/>
        <v>25</v>
      </c>
      <c r="AT115">
        <f t="shared" si="35"/>
        <v>50</v>
      </c>
      <c r="AU115" s="15">
        <f t="shared" si="36"/>
        <v>80</v>
      </c>
      <c r="AV115" s="15">
        <f t="shared" si="37"/>
        <v>60</v>
      </c>
      <c r="AW115">
        <f t="shared" si="38"/>
        <v>60</v>
      </c>
      <c r="AX115">
        <f t="shared" si="39"/>
        <v>75</v>
      </c>
      <c r="BB115" s="14">
        <f t="shared" si="40"/>
        <v>38.340854162999996</v>
      </c>
      <c r="BC115" s="14">
        <f t="shared" si="41"/>
        <v>41.979204122999995</v>
      </c>
      <c r="BK115" s="15"/>
      <c r="BL115" s="15"/>
      <c r="BM115" s="15"/>
      <c r="BN115" s="15"/>
      <c r="BP115" s="15"/>
      <c r="BQ115" s="15"/>
    </row>
    <row r="116" spans="1:71" x14ac:dyDescent="0.25">
      <c r="A116">
        <v>115</v>
      </c>
      <c r="B116" t="s">
        <v>364</v>
      </c>
      <c r="C116" t="s">
        <v>111</v>
      </c>
      <c r="D116" s="1" t="d">
        <v>2019-05-03T12:57:18.999999873340130025</v>
      </c>
      <c r="E116" s="1" t="d">
        <v>2019-05-05T15:54:07.99999985843897175</v>
      </c>
      <c r="F116" t="s">
        <v>365</v>
      </c>
      <c r="G116">
        <v>1</v>
      </c>
      <c r="H116">
        <v>2</v>
      </c>
      <c r="I116">
        <v>3</v>
      </c>
      <c r="J116">
        <v>4</v>
      </c>
      <c r="K116">
        <v>4</v>
      </c>
      <c r="L116">
        <v>4</v>
      </c>
      <c r="M116">
        <v>3</v>
      </c>
      <c r="N116">
        <v>5</v>
      </c>
      <c r="O116">
        <v>2</v>
      </c>
      <c r="P116">
        <v>1</v>
      </c>
      <c r="Q116">
        <v>2</v>
      </c>
      <c r="R116">
        <v>5</v>
      </c>
      <c r="S116">
        <v>5</v>
      </c>
      <c r="T116">
        <v>5</v>
      </c>
      <c r="U116" s="1" t="d">
        <v>2019-08-31T07:40:04.99999998137354625</v>
      </c>
      <c r="V116" s="1" t="d">
        <v>2019-09-12T20:37:57.000000025145709525</v>
      </c>
      <c r="W116" t="s">
        <v>366</v>
      </c>
      <c r="X116">
        <v>2</v>
      </c>
      <c r="Y116">
        <v>3</v>
      </c>
      <c r="Z116">
        <v>3</v>
      </c>
      <c r="AA116">
        <v>1</v>
      </c>
      <c r="AB116">
        <v>4</v>
      </c>
      <c r="AC116">
        <v>4</v>
      </c>
      <c r="AD116">
        <v>4</v>
      </c>
      <c r="AE116">
        <v>5</v>
      </c>
      <c r="AF116">
        <v>1</v>
      </c>
      <c r="AG116">
        <v>2</v>
      </c>
      <c r="AH116">
        <v>5</v>
      </c>
      <c r="AI116">
        <v>4</v>
      </c>
      <c r="AJ116">
        <v>4</v>
      </c>
      <c r="AK116">
        <v>4</v>
      </c>
      <c r="AM116" t="str">
        <f t="shared" si="28"/>
        <v>100</v>
      </c>
      <c r="AN116">
        <f t="shared" si="29"/>
        <v>50</v>
      </c>
      <c r="AO116">
        <f t="shared" si="30"/>
        <v>100</v>
      </c>
      <c r="AP116" s="15">
        <f t="shared" si="31"/>
        <v>25</v>
      </c>
      <c r="AQ116" s="15">
        <f t="shared" si="32"/>
        <v>25</v>
      </c>
      <c r="AR116" s="15">
        <f t="shared" si="33"/>
        <v>25</v>
      </c>
      <c r="AS116" s="15">
        <f t="shared" si="34"/>
        <v>50</v>
      </c>
      <c r="AT116">
        <f t="shared" si="35"/>
        <v>0</v>
      </c>
      <c r="AU116" s="15">
        <f t="shared" si="36"/>
        <v>80</v>
      </c>
      <c r="AV116" s="15">
        <f t="shared" si="37"/>
        <v>100</v>
      </c>
      <c r="AW116">
        <f t="shared" si="38"/>
        <v>20</v>
      </c>
      <c r="AX116">
        <f t="shared" si="39"/>
        <v>100</v>
      </c>
      <c r="BB116" s="14">
        <f t="shared" si="40"/>
        <v>39.199473910999998</v>
      </c>
      <c r="BC116" s="14">
        <f t="shared" si="41"/>
        <v>43.143251110000001</v>
      </c>
      <c r="BE116" s="14">
        <f t="shared" si="42"/>
        <v>42.698347389999995</v>
      </c>
      <c r="BF116" s="14">
        <f t="shared" si="43"/>
        <v>44.520261246999993</v>
      </c>
      <c r="BH116" t="str">
        <f t="shared" si="44"/>
        <v>85</v>
      </c>
      <c r="BI116">
        <f t="shared" si="45"/>
        <v>100</v>
      </c>
      <c r="BJ116">
        <f t="shared" si="46"/>
        <v>100</v>
      </c>
      <c r="BK116" s="15">
        <f t="shared" si="47"/>
        <v>100</v>
      </c>
      <c r="BL116" s="15">
        <f t="shared" si="48"/>
        <v>25</v>
      </c>
      <c r="BM116" s="15">
        <f t="shared" si="49"/>
        <v>25</v>
      </c>
      <c r="BN116" s="15">
        <f t="shared" si="50"/>
        <v>25</v>
      </c>
      <c r="BO116">
        <f t="shared" si="51"/>
        <v>0</v>
      </c>
      <c r="BP116" s="15">
        <f t="shared" si="52"/>
        <v>100</v>
      </c>
      <c r="BQ116" s="15">
        <f t="shared" si="53"/>
        <v>80</v>
      </c>
      <c r="BR116">
        <f t="shared" si="54"/>
        <v>80</v>
      </c>
      <c r="BS116">
        <f t="shared" si="55"/>
        <v>75</v>
      </c>
    </row>
    <row r="117" spans="1:71" x14ac:dyDescent="0.25">
      <c r="A117">
        <v>116</v>
      </c>
      <c r="B117" t="s">
        <v>367</v>
      </c>
      <c r="C117" t="s">
        <v>111</v>
      </c>
      <c r="D117" s="1" t="d">
        <v>2019-04-26T19:20:12.00000022072344825</v>
      </c>
      <c r="E117" s="1" t="d">
        <v>2019-04-26T20:00:21.00000008940696450</v>
      </c>
      <c r="F117" t="s">
        <v>368</v>
      </c>
      <c r="G117">
        <v>2</v>
      </c>
      <c r="H117">
        <v>2</v>
      </c>
      <c r="I117">
        <v>3</v>
      </c>
      <c r="J117">
        <v>4</v>
      </c>
      <c r="K117">
        <v>4</v>
      </c>
      <c r="L117">
        <v>5</v>
      </c>
      <c r="M117">
        <v>3</v>
      </c>
      <c r="N117">
        <v>5</v>
      </c>
      <c r="O117">
        <v>1</v>
      </c>
      <c r="P117">
        <v>1</v>
      </c>
      <c r="Q117">
        <v>6</v>
      </c>
      <c r="R117">
        <v>5</v>
      </c>
      <c r="S117">
        <v>2</v>
      </c>
      <c r="T117">
        <v>3</v>
      </c>
      <c r="U117" s="1" t="d">
        <v>2019-09-17T13:49:20.99999982398003400</v>
      </c>
      <c r="V117" s="1" t="d">
        <v>2019-09-17T14:13:27.99999986775219525</v>
      </c>
      <c r="W117" t="s">
        <v>369</v>
      </c>
      <c r="X117">
        <v>2</v>
      </c>
      <c r="Y117">
        <v>2</v>
      </c>
      <c r="Z117">
        <v>2</v>
      </c>
      <c r="AA117">
        <v>4</v>
      </c>
      <c r="AB117">
        <v>3</v>
      </c>
      <c r="AC117">
        <v>4</v>
      </c>
      <c r="AD117">
        <v>1</v>
      </c>
      <c r="AE117">
        <v>4</v>
      </c>
      <c r="AF117">
        <v>1</v>
      </c>
      <c r="AG117">
        <v>1</v>
      </c>
      <c r="AH117">
        <v>6</v>
      </c>
      <c r="AI117">
        <v>5</v>
      </c>
      <c r="AJ117">
        <v>2</v>
      </c>
      <c r="AK117">
        <v>2</v>
      </c>
      <c r="AM117" t="str">
        <f t="shared" si="28"/>
        <v>85</v>
      </c>
      <c r="AN117">
        <f t="shared" si="29"/>
        <v>50</v>
      </c>
      <c r="AO117">
        <f t="shared" si="30"/>
        <v>100</v>
      </c>
      <c r="AP117" s="15">
        <f t="shared" si="31"/>
        <v>25</v>
      </c>
      <c r="AQ117" s="15">
        <f t="shared" si="32"/>
        <v>25</v>
      </c>
      <c r="AR117" s="15">
        <f t="shared" si="33"/>
        <v>0</v>
      </c>
      <c r="AS117" s="15">
        <f t="shared" si="34"/>
        <v>50</v>
      </c>
      <c r="AT117">
        <f t="shared" si="35"/>
        <v>0</v>
      </c>
      <c r="AU117" s="15">
        <f t="shared" si="36"/>
        <v>100</v>
      </c>
      <c r="AV117" s="15">
        <f t="shared" si="37"/>
        <v>100</v>
      </c>
      <c r="AW117">
        <f t="shared" si="38"/>
        <v>100</v>
      </c>
      <c r="AX117">
        <f t="shared" si="39"/>
        <v>100</v>
      </c>
      <c r="BB117" s="14">
        <f t="shared" si="40"/>
        <v>34.348415659499999</v>
      </c>
      <c r="BC117" s="14">
        <f t="shared" si="41"/>
        <v>54.1283192</v>
      </c>
      <c r="BE117" s="14">
        <f t="shared" si="42"/>
        <v>32.756431499499996</v>
      </c>
      <c r="BF117" s="14">
        <f t="shared" si="43"/>
        <v>61.69235647499999</v>
      </c>
      <c r="BH117" t="str">
        <f t="shared" si="44"/>
        <v>85</v>
      </c>
      <c r="BI117">
        <f t="shared" si="45"/>
        <v>50</v>
      </c>
      <c r="BJ117">
        <f t="shared" si="46"/>
        <v>50</v>
      </c>
      <c r="BK117" s="15">
        <f t="shared" si="47"/>
        <v>25</v>
      </c>
      <c r="BL117" s="15">
        <f t="shared" si="48"/>
        <v>50</v>
      </c>
      <c r="BM117" s="15">
        <f t="shared" si="49"/>
        <v>25</v>
      </c>
      <c r="BN117" s="15">
        <f t="shared" si="50"/>
        <v>100</v>
      </c>
      <c r="BO117">
        <f t="shared" si="51"/>
        <v>25</v>
      </c>
      <c r="BP117" s="15">
        <f t="shared" si="52"/>
        <v>100</v>
      </c>
      <c r="BQ117" s="15">
        <f t="shared" si="53"/>
        <v>100</v>
      </c>
      <c r="BR117">
        <f t="shared" si="54"/>
        <v>100</v>
      </c>
      <c r="BS117">
        <f t="shared" si="55"/>
        <v>100</v>
      </c>
    </row>
    <row r="118" spans="1:71" x14ac:dyDescent="0.25">
      <c r="A118">
        <v>117</v>
      </c>
      <c r="B118" t="s">
        <v>370</v>
      </c>
      <c r="C118" t="s">
        <v>111</v>
      </c>
      <c r="D118" s="1" t="d">
        <v>2019-05-14T03:59:18.00000003073364700</v>
      </c>
      <c r="E118" s="1" t="d">
        <v>2019-05-14T04:35:34.00000012479722325</v>
      </c>
      <c r="F118" t="s">
        <v>371</v>
      </c>
      <c r="G118">
        <v>2</v>
      </c>
      <c r="H118">
        <v>3</v>
      </c>
      <c r="I118">
        <v>3</v>
      </c>
      <c r="J118">
        <v>4</v>
      </c>
      <c r="K118">
        <v>5</v>
      </c>
      <c r="L118">
        <v>2</v>
      </c>
      <c r="M118">
        <v>2</v>
      </c>
      <c r="N118">
        <v>5</v>
      </c>
      <c r="O118">
        <v>2</v>
      </c>
      <c r="P118">
        <v>2</v>
      </c>
      <c r="Q118">
        <v>2</v>
      </c>
      <c r="R118">
        <v>4</v>
      </c>
      <c r="S118">
        <v>1</v>
      </c>
      <c r="T118">
        <v>2</v>
      </c>
      <c r="U118" s="1" t="d">
        <v>2019-09-13T12:10:49.0000002086162550</v>
      </c>
      <c r="V118" s="1" t="d">
        <v>2019-09-13T14:06:14.00000025518238600</v>
      </c>
      <c r="W118" t="s">
        <v>372</v>
      </c>
      <c r="X118">
        <v>2</v>
      </c>
      <c r="Y118">
        <v>3</v>
      </c>
      <c r="Z118">
        <v>3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3</v>
      </c>
      <c r="AG118">
        <v>3</v>
      </c>
      <c r="AH118">
        <v>2</v>
      </c>
      <c r="AI118">
        <v>4</v>
      </c>
      <c r="AJ118">
        <v>4</v>
      </c>
      <c r="AK118">
        <v>3</v>
      </c>
      <c r="AM118" t="str">
        <f t="shared" si="28"/>
        <v>85</v>
      </c>
      <c r="AN118">
        <f t="shared" si="29"/>
        <v>100</v>
      </c>
      <c r="AO118">
        <f t="shared" si="30"/>
        <v>100</v>
      </c>
      <c r="AP118" s="15">
        <f t="shared" si="31"/>
        <v>25</v>
      </c>
      <c r="AQ118" s="15">
        <f t="shared" si="32"/>
        <v>0</v>
      </c>
      <c r="AR118" s="15">
        <f t="shared" si="33"/>
        <v>75</v>
      </c>
      <c r="AS118" s="15">
        <f t="shared" si="34"/>
        <v>75</v>
      </c>
      <c r="AT118">
        <f t="shared" si="35"/>
        <v>0</v>
      </c>
      <c r="AU118" s="15">
        <f t="shared" si="36"/>
        <v>80</v>
      </c>
      <c r="AV118" s="15">
        <f t="shared" si="37"/>
        <v>80</v>
      </c>
      <c r="AW118">
        <f t="shared" si="38"/>
        <v>20</v>
      </c>
      <c r="AX118">
        <f t="shared" si="39"/>
        <v>75</v>
      </c>
      <c r="BB118" s="14">
        <f t="shared" si="40"/>
        <v>35.023777604999999</v>
      </c>
      <c r="BC118" s="14">
        <f t="shared" si="41"/>
        <v>46.251598397999999</v>
      </c>
      <c r="BE118" s="14">
        <f t="shared" si="42"/>
        <v>44.969222052999996</v>
      </c>
      <c r="BF118" s="14">
        <f t="shared" si="43"/>
        <v>31.07137316</v>
      </c>
      <c r="BH118" t="str">
        <f t="shared" si="44"/>
        <v>85</v>
      </c>
      <c r="BI118">
        <f t="shared" si="45"/>
        <v>100</v>
      </c>
      <c r="BJ118">
        <f t="shared" si="46"/>
        <v>100</v>
      </c>
      <c r="BK118" s="15">
        <f t="shared" si="47"/>
        <v>25</v>
      </c>
      <c r="BL118" s="15">
        <f t="shared" si="48"/>
        <v>25</v>
      </c>
      <c r="BM118" s="15">
        <f t="shared" si="49"/>
        <v>25</v>
      </c>
      <c r="BN118" s="15">
        <f t="shared" si="50"/>
        <v>25</v>
      </c>
      <c r="BO118">
        <f t="shared" si="51"/>
        <v>25</v>
      </c>
      <c r="BP118" s="15">
        <f t="shared" si="52"/>
        <v>60</v>
      </c>
      <c r="BQ118" s="15">
        <f t="shared" si="53"/>
        <v>60</v>
      </c>
      <c r="BR118">
        <f t="shared" si="54"/>
        <v>20</v>
      </c>
      <c r="BS118">
        <f t="shared" si="55"/>
        <v>75</v>
      </c>
    </row>
    <row r="119" spans="1:71" x14ac:dyDescent="0.25">
      <c r="A119">
        <v>118</v>
      </c>
      <c r="B119" t="s">
        <v>373</v>
      </c>
      <c r="C119" t="s">
        <v>111</v>
      </c>
      <c r="D119" s="1" t="d">
        <v>2019-05-13T09:34:10.000000186264515225</v>
      </c>
      <c r="E119" s="1" t="d">
        <v>2019-05-13T10:20:45.99999999627470925</v>
      </c>
      <c r="F119" t="s">
        <v>374</v>
      </c>
      <c r="G119">
        <v>2</v>
      </c>
      <c r="H119">
        <v>3</v>
      </c>
      <c r="I119">
        <v>2</v>
      </c>
      <c r="J119">
        <v>4</v>
      </c>
      <c r="K119">
        <v>4</v>
      </c>
      <c r="L119">
        <v>5</v>
      </c>
      <c r="M119">
        <v>4</v>
      </c>
      <c r="N119">
        <v>5</v>
      </c>
      <c r="O119">
        <v>2</v>
      </c>
      <c r="P119">
        <v>2</v>
      </c>
      <c r="Q119">
        <v>5</v>
      </c>
      <c r="R119">
        <v>5</v>
      </c>
      <c r="S119">
        <v>1</v>
      </c>
      <c r="T119">
        <v>1</v>
      </c>
      <c r="U119" s="1" t="d">
        <v>2019-09-11T09:15:39.00000010617077625</v>
      </c>
      <c r="V119" s="1" t="d">
        <v>2019-09-11T09:51:15.99999988451600025</v>
      </c>
      <c r="W119" t="s">
        <v>375</v>
      </c>
      <c r="X119">
        <v>3</v>
      </c>
      <c r="Y119">
        <v>2</v>
      </c>
      <c r="Z119">
        <v>2</v>
      </c>
      <c r="AA119">
        <v>3</v>
      </c>
      <c r="AB119">
        <v>3</v>
      </c>
      <c r="AC119">
        <v>4</v>
      </c>
      <c r="AD119">
        <v>4</v>
      </c>
      <c r="AE119">
        <v>4</v>
      </c>
      <c r="AF119">
        <v>1</v>
      </c>
      <c r="AG119">
        <v>2</v>
      </c>
      <c r="AH119">
        <v>3</v>
      </c>
      <c r="AI119">
        <v>5</v>
      </c>
      <c r="AJ119">
        <v>2</v>
      </c>
      <c r="AK119">
        <v>1</v>
      </c>
      <c r="AM119" t="str">
        <f t="shared" si="28"/>
        <v>85</v>
      </c>
      <c r="AN119">
        <f t="shared" si="29"/>
        <v>100</v>
      </c>
      <c r="AO119">
        <f t="shared" si="30"/>
        <v>50</v>
      </c>
      <c r="AP119" s="15">
        <f t="shared" si="31"/>
        <v>25</v>
      </c>
      <c r="AQ119" s="15">
        <f t="shared" si="32"/>
        <v>25</v>
      </c>
      <c r="AR119" s="15">
        <f t="shared" si="33"/>
        <v>0</v>
      </c>
      <c r="AS119" s="15">
        <f t="shared" si="34"/>
        <v>25</v>
      </c>
      <c r="AT119">
        <f t="shared" si="35"/>
        <v>0</v>
      </c>
      <c r="AU119" s="15">
        <f t="shared" si="36"/>
        <v>80</v>
      </c>
      <c r="AV119" s="15">
        <f t="shared" si="37"/>
        <v>80</v>
      </c>
      <c r="AW119">
        <f t="shared" si="38"/>
        <v>80</v>
      </c>
      <c r="AX119">
        <f t="shared" si="39"/>
        <v>100</v>
      </c>
      <c r="BB119" s="14">
        <f t="shared" si="40"/>
        <v>35.982639107500006</v>
      </c>
      <c r="BC119" s="14">
        <f t="shared" si="41"/>
        <v>45.346144303499997</v>
      </c>
      <c r="BE119" s="14">
        <f t="shared" si="42"/>
        <v>37.615103175000002</v>
      </c>
      <c r="BF119" s="14">
        <f t="shared" si="43"/>
        <v>44.6692139325</v>
      </c>
      <c r="BH119" t="str">
        <f t="shared" si="44"/>
        <v>60</v>
      </c>
      <c r="BI119">
        <f t="shared" si="45"/>
        <v>50</v>
      </c>
      <c r="BJ119">
        <f t="shared" si="46"/>
        <v>50</v>
      </c>
      <c r="BK119" s="15">
        <f t="shared" si="47"/>
        <v>50</v>
      </c>
      <c r="BL119" s="15">
        <f t="shared" si="48"/>
        <v>50</v>
      </c>
      <c r="BM119" s="15">
        <f t="shared" si="49"/>
        <v>25</v>
      </c>
      <c r="BN119" s="15">
        <f t="shared" si="50"/>
        <v>25</v>
      </c>
      <c r="BO119">
        <f t="shared" si="51"/>
        <v>25</v>
      </c>
      <c r="BP119" s="15">
        <f t="shared" si="52"/>
        <v>100</v>
      </c>
      <c r="BQ119" s="15">
        <f t="shared" si="53"/>
        <v>80</v>
      </c>
      <c r="BR119">
        <f t="shared" si="54"/>
        <v>40</v>
      </c>
      <c r="BS119">
        <f t="shared" si="55"/>
        <v>100</v>
      </c>
    </row>
    <row r="120" spans="1:71" x14ac:dyDescent="0.25">
      <c r="A120">
        <v>119</v>
      </c>
      <c r="B120" t="s">
        <v>376</v>
      </c>
      <c r="C120" t="s">
        <v>111</v>
      </c>
      <c r="D120" s="1" t="d">
        <v>2019-05-28T15:34:04.000000040978193525</v>
      </c>
      <c r="E120" s="1" t="d">
        <v>2019-05-28T16:04:14.00000007357448050</v>
      </c>
      <c r="F120" t="s">
        <v>377</v>
      </c>
      <c r="G120">
        <v>2</v>
      </c>
      <c r="H120">
        <v>3</v>
      </c>
      <c r="I120">
        <v>2</v>
      </c>
      <c r="J120">
        <v>4</v>
      </c>
      <c r="K120">
        <v>5</v>
      </c>
      <c r="L120">
        <v>5</v>
      </c>
      <c r="M120">
        <v>5</v>
      </c>
      <c r="N120">
        <v>4</v>
      </c>
      <c r="O120">
        <v>2</v>
      </c>
      <c r="P120">
        <v>1</v>
      </c>
      <c r="Q120">
        <v>5</v>
      </c>
      <c r="R120">
        <v>4</v>
      </c>
      <c r="S120">
        <v>3</v>
      </c>
      <c r="T120">
        <v>2</v>
      </c>
      <c r="U120" s="1" t="d">
        <v>2019-10-02T10:38:40.9999998332932575</v>
      </c>
      <c r="V120" s="1" t="d">
        <v>2019-10-02T11:37:01.99999974109232325</v>
      </c>
      <c r="W120" t="s">
        <v>378</v>
      </c>
      <c r="X120">
        <v>2</v>
      </c>
      <c r="Y120">
        <v>2</v>
      </c>
      <c r="Z120">
        <v>2</v>
      </c>
      <c r="AA120">
        <v>3</v>
      </c>
      <c r="AB120">
        <v>4</v>
      </c>
      <c r="AC120">
        <v>4</v>
      </c>
      <c r="AD120">
        <v>5</v>
      </c>
      <c r="AE120">
        <v>4</v>
      </c>
      <c r="AF120">
        <v>2</v>
      </c>
      <c r="AG120">
        <v>1</v>
      </c>
      <c r="AH120">
        <v>6</v>
      </c>
      <c r="AI120">
        <v>4</v>
      </c>
      <c r="AJ120">
        <v>2</v>
      </c>
      <c r="AK120">
        <v>1</v>
      </c>
      <c r="AM120" t="str">
        <f t="shared" si="28"/>
        <v>85</v>
      </c>
      <c r="AN120">
        <f t="shared" si="29"/>
        <v>100</v>
      </c>
      <c r="AO120">
        <f t="shared" si="30"/>
        <v>50</v>
      </c>
      <c r="AP120" s="15">
        <f t="shared" si="31"/>
        <v>25</v>
      </c>
      <c r="AQ120" s="15">
        <f t="shared" si="32"/>
        <v>0</v>
      </c>
      <c r="AR120" s="15">
        <f t="shared" si="33"/>
        <v>0</v>
      </c>
      <c r="AS120" s="15">
        <f t="shared" si="34"/>
        <v>0</v>
      </c>
      <c r="AT120">
        <f t="shared" si="35"/>
        <v>25</v>
      </c>
      <c r="AU120" s="15">
        <f t="shared" si="36"/>
        <v>80</v>
      </c>
      <c r="AV120" s="15">
        <f t="shared" si="37"/>
        <v>100</v>
      </c>
      <c r="AW120">
        <f t="shared" si="38"/>
        <v>80</v>
      </c>
      <c r="AX120">
        <f t="shared" si="39"/>
        <v>75</v>
      </c>
      <c r="BB120" s="14">
        <f t="shared" si="40"/>
        <v>38.769019206999999</v>
      </c>
      <c r="BC120" s="14">
        <f t="shared" si="41"/>
        <v>42.005563540499999</v>
      </c>
      <c r="BE120" s="14">
        <f t="shared" si="42"/>
        <v>36.654913246999996</v>
      </c>
      <c r="BF120" s="14">
        <f t="shared" si="43"/>
        <v>48.689583111499999</v>
      </c>
      <c r="BH120" t="str">
        <f t="shared" si="44"/>
        <v>85</v>
      </c>
      <c r="BI120">
        <f t="shared" si="45"/>
        <v>50</v>
      </c>
      <c r="BJ120">
        <f t="shared" si="46"/>
        <v>50</v>
      </c>
      <c r="BK120" s="15">
        <f t="shared" si="47"/>
        <v>50</v>
      </c>
      <c r="BL120" s="15">
        <f t="shared" si="48"/>
        <v>25</v>
      </c>
      <c r="BM120" s="15">
        <f t="shared" si="49"/>
        <v>25</v>
      </c>
      <c r="BN120" s="15">
        <f t="shared" si="50"/>
        <v>0</v>
      </c>
      <c r="BO120">
        <f t="shared" si="51"/>
        <v>25</v>
      </c>
      <c r="BP120" s="15">
        <f t="shared" si="52"/>
        <v>80</v>
      </c>
      <c r="BQ120" s="15">
        <f t="shared" si="53"/>
        <v>100</v>
      </c>
      <c r="BR120">
        <f t="shared" si="54"/>
        <v>100</v>
      </c>
      <c r="BS120">
        <f t="shared" si="55"/>
        <v>75</v>
      </c>
    </row>
    <row r="121" spans="1:71" x14ac:dyDescent="0.25">
      <c r="A121">
        <v>120</v>
      </c>
      <c r="B121" t="s">
        <v>379</v>
      </c>
      <c r="C121" t="s">
        <v>111</v>
      </c>
      <c r="D121" s="1" t="d">
        <v>2019-05-16T14:37:15.00000026542693050</v>
      </c>
      <c r="E121" s="1" t="d">
        <v>2019-05-16T15:30:16.00000017788261475</v>
      </c>
      <c r="F121" t="s">
        <v>380</v>
      </c>
      <c r="G121">
        <v>2</v>
      </c>
      <c r="H121">
        <v>2</v>
      </c>
      <c r="I121">
        <v>3</v>
      </c>
      <c r="J121">
        <v>3</v>
      </c>
      <c r="K121">
        <v>3</v>
      </c>
      <c r="L121">
        <v>3</v>
      </c>
      <c r="M121">
        <v>3</v>
      </c>
      <c r="N121">
        <v>3</v>
      </c>
      <c r="O121">
        <v>3</v>
      </c>
      <c r="P121">
        <v>2</v>
      </c>
      <c r="Q121">
        <v>4</v>
      </c>
      <c r="R121">
        <v>4</v>
      </c>
      <c r="S121">
        <v>3</v>
      </c>
      <c r="T121">
        <v>2</v>
      </c>
      <c r="U121" s="1" t="d">
        <v>2019-10-01T14:49:42.999999728053808325</v>
      </c>
      <c r="V121" s="1" t="d">
        <v>2019-10-04T13:08:08.000000081956386375</v>
      </c>
      <c r="W121" t="s">
        <v>381</v>
      </c>
      <c r="X121">
        <v>2</v>
      </c>
      <c r="Y121">
        <v>2</v>
      </c>
      <c r="Z121">
        <v>3</v>
      </c>
      <c r="AA121">
        <v>4</v>
      </c>
      <c r="AB121">
        <v>4</v>
      </c>
      <c r="AC121">
        <v>4</v>
      </c>
      <c r="AD121">
        <v>1</v>
      </c>
      <c r="AE121">
        <v>5</v>
      </c>
      <c r="AF121">
        <v>4</v>
      </c>
      <c r="AG121">
        <v>2</v>
      </c>
      <c r="AH121">
        <v>3</v>
      </c>
      <c r="AI121">
        <v>2</v>
      </c>
      <c r="AJ121">
        <v>3</v>
      </c>
      <c r="AK121">
        <v>4</v>
      </c>
      <c r="AM121" t="str">
        <f t="shared" si="28"/>
        <v>85</v>
      </c>
      <c r="AN121">
        <f t="shared" si="29"/>
        <v>50</v>
      </c>
      <c r="AO121">
        <f t="shared" si="30"/>
        <v>100</v>
      </c>
      <c r="AP121" s="15">
        <f t="shared" si="31"/>
        <v>50</v>
      </c>
      <c r="AQ121" s="15">
        <f t="shared" si="32"/>
        <v>50</v>
      </c>
      <c r="AR121" s="15">
        <f t="shared" si="33"/>
        <v>50</v>
      </c>
      <c r="AS121" s="15">
        <f t="shared" si="34"/>
        <v>50</v>
      </c>
      <c r="AT121">
        <f t="shared" si="35"/>
        <v>50</v>
      </c>
      <c r="AU121" s="15">
        <f t="shared" si="36"/>
        <v>60</v>
      </c>
      <c r="AV121" s="15">
        <f t="shared" si="37"/>
        <v>80</v>
      </c>
      <c r="AW121">
        <f t="shared" si="38"/>
        <v>60</v>
      </c>
      <c r="AX121">
        <f t="shared" si="39"/>
        <v>75</v>
      </c>
      <c r="BB121" s="14">
        <f t="shared" si="40"/>
        <v>44.929896574999994</v>
      </c>
      <c r="BC121" s="14">
        <f t="shared" si="41"/>
        <v>43.544037946499998</v>
      </c>
      <c r="BE121" s="14">
        <f t="shared" si="42"/>
        <v>36.096362729999996</v>
      </c>
      <c r="BF121" s="14">
        <f t="shared" si="43"/>
        <v>36.280295429500001</v>
      </c>
      <c r="BH121" t="str">
        <f t="shared" si="44"/>
        <v>85</v>
      </c>
      <c r="BI121">
        <f t="shared" si="45"/>
        <v>50</v>
      </c>
      <c r="BJ121">
        <f t="shared" si="46"/>
        <v>100</v>
      </c>
      <c r="BK121" s="15">
        <f t="shared" si="47"/>
        <v>25</v>
      </c>
      <c r="BL121" s="15">
        <f t="shared" si="48"/>
        <v>25</v>
      </c>
      <c r="BM121" s="15">
        <f t="shared" si="49"/>
        <v>25</v>
      </c>
      <c r="BN121" s="15">
        <f t="shared" si="50"/>
        <v>100</v>
      </c>
      <c r="BO121">
        <f t="shared" si="51"/>
        <v>0</v>
      </c>
      <c r="BP121" s="15">
        <f t="shared" si="52"/>
        <v>40</v>
      </c>
      <c r="BQ121" s="15">
        <f t="shared" si="53"/>
        <v>80</v>
      </c>
      <c r="BR121">
        <f t="shared" si="54"/>
        <v>40</v>
      </c>
      <c r="BS121">
        <f t="shared" si="55"/>
        <v>25</v>
      </c>
    </row>
    <row r="122" spans="1:71" x14ac:dyDescent="0.25">
      <c r="A122">
        <v>121</v>
      </c>
      <c r="B122" t="s">
        <v>382</v>
      </c>
      <c r="C122" t="s">
        <v>111</v>
      </c>
      <c r="D122" s="1" t="d">
        <v>2019-05-24T14:33:45.99999981466681050</v>
      </c>
      <c r="E122" s="1" t="d">
        <v>2019-05-24T15:39:22.99999980255961725</v>
      </c>
      <c r="F122" t="s">
        <v>383</v>
      </c>
      <c r="G122">
        <v>2</v>
      </c>
      <c r="H122">
        <v>3</v>
      </c>
      <c r="I122">
        <v>3</v>
      </c>
      <c r="J122">
        <v>5</v>
      </c>
      <c r="K122">
        <v>5</v>
      </c>
      <c r="L122">
        <v>5</v>
      </c>
      <c r="M122">
        <v>5</v>
      </c>
      <c r="N122">
        <v>5</v>
      </c>
      <c r="O122">
        <v>2</v>
      </c>
      <c r="P122">
        <v>1</v>
      </c>
      <c r="Q122">
        <v>2</v>
      </c>
      <c r="R122">
        <v>5</v>
      </c>
      <c r="S122">
        <v>3</v>
      </c>
      <c r="T122">
        <v>2</v>
      </c>
      <c r="U122" s="1" t="d">
        <v>2019-10-15T20:59:55.00000008847564350</v>
      </c>
      <c r="V122" s="1" t="d">
        <v>2019-10-15T21:20:32.00000007636845025</v>
      </c>
      <c r="W122" t="s">
        <v>384</v>
      </c>
      <c r="X122">
        <v>1</v>
      </c>
      <c r="Y122">
        <v>3</v>
      </c>
      <c r="Z122">
        <v>3</v>
      </c>
      <c r="AA122">
        <v>3</v>
      </c>
      <c r="AB122">
        <v>4</v>
      </c>
      <c r="AC122">
        <v>4</v>
      </c>
      <c r="AD122">
        <v>4</v>
      </c>
      <c r="AE122">
        <v>5</v>
      </c>
      <c r="AF122">
        <v>2</v>
      </c>
      <c r="AG122">
        <v>1</v>
      </c>
      <c r="AH122">
        <v>5</v>
      </c>
      <c r="AI122">
        <v>4</v>
      </c>
      <c r="AJ122">
        <v>2</v>
      </c>
      <c r="AK122">
        <v>1</v>
      </c>
      <c r="AM122" t="str">
        <f t="shared" si="28"/>
        <v>85</v>
      </c>
      <c r="AN122">
        <f t="shared" si="29"/>
        <v>100</v>
      </c>
      <c r="AO122">
        <f t="shared" si="30"/>
        <v>100</v>
      </c>
      <c r="AP122" s="15">
        <f t="shared" si="31"/>
        <v>0</v>
      </c>
      <c r="AQ122" s="15">
        <f t="shared" si="32"/>
        <v>0</v>
      </c>
      <c r="AR122" s="15">
        <f t="shared" si="33"/>
        <v>0</v>
      </c>
      <c r="AS122" s="15">
        <f t="shared" si="34"/>
        <v>0</v>
      </c>
      <c r="AT122">
        <f t="shared" si="35"/>
        <v>0</v>
      </c>
      <c r="AU122" s="15">
        <f t="shared" si="36"/>
        <v>80</v>
      </c>
      <c r="AV122" s="15">
        <f t="shared" si="37"/>
        <v>100</v>
      </c>
      <c r="AW122">
        <f t="shared" si="38"/>
        <v>20</v>
      </c>
      <c r="AX122">
        <f t="shared" si="39"/>
        <v>100</v>
      </c>
      <c r="BB122" s="14">
        <f t="shared" si="40"/>
        <v>40.685993314499996</v>
      </c>
      <c r="BC122" s="14">
        <f t="shared" si="41"/>
        <v>35.416930485000002</v>
      </c>
      <c r="BE122" s="14">
        <f t="shared" si="42"/>
        <v>41.734857978500003</v>
      </c>
      <c r="BF122" s="14">
        <f t="shared" si="43"/>
        <v>44.965570067999998</v>
      </c>
      <c r="BH122" t="str">
        <f t="shared" si="44"/>
        <v>100</v>
      </c>
      <c r="BI122">
        <f t="shared" si="45"/>
        <v>100</v>
      </c>
      <c r="BJ122">
        <f t="shared" si="46"/>
        <v>100</v>
      </c>
      <c r="BK122" s="15">
        <f t="shared" si="47"/>
        <v>50</v>
      </c>
      <c r="BL122" s="15">
        <f t="shared" si="48"/>
        <v>25</v>
      </c>
      <c r="BM122" s="15">
        <f t="shared" si="49"/>
        <v>25</v>
      </c>
      <c r="BN122" s="15">
        <f t="shared" si="50"/>
        <v>25</v>
      </c>
      <c r="BO122">
        <f t="shared" si="51"/>
        <v>0</v>
      </c>
      <c r="BP122" s="15">
        <f t="shared" si="52"/>
        <v>80</v>
      </c>
      <c r="BQ122" s="15">
        <f t="shared" si="53"/>
        <v>100</v>
      </c>
      <c r="BR122">
        <f t="shared" si="54"/>
        <v>80</v>
      </c>
      <c r="BS122">
        <f t="shared" si="55"/>
        <v>75</v>
      </c>
    </row>
    <row r="123" spans="1:71" x14ac:dyDescent="0.25">
      <c r="A123">
        <v>122</v>
      </c>
      <c r="B123" t="s">
        <v>385</v>
      </c>
      <c r="C123" t="s">
        <v>111</v>
      </c>
      <c r="D123" s="1" t="d">
        <v>2019-05-16T06:24:51.0000002710148700</v>
      </c>
      <c r="E123" s="1" t="d">
        <v>2019-05-16T06:57:45.99999989848584225</v>
      </c>
      <c r="F123" t="s">
        <v>386</v>
      </c>
      <c r="G123">
        <v>2</v>
      </c>
      <c r="H123">
        <v>1</v>
      </c>
      <c r="I123">
        <v>2</v>
      </c>
      <c r="J123">
        <v>2</v>
      </c>
      <c r="K123">
        <v>2</v>
      </c>
      <c r="L123">
        <v>1</v>
      </c>
      <c r="M123">
        <v>1</v>
      </c>
      <c r="N123">
        <v>4</v>
      </c>
      <c r="O123">
        <v>4</v>
      </c>
      <c r="P123">
        <v>3</v>
      </c>
      <c r="Q123">
        <v>2</v>
      </c>
      <c r="R123">
        <v>3</v>
      </c>
      <c r="S123">
        <v>3</v>
      </c>
      <c r="T123">
        <v>3</v>
      </c>
      <c r="U123" s="1" t="d">
        <v>2019-09-13T09:15:23.00000013783574425</v>
      </c>
      <c r="V123" s="1" t="d">
        <v>2019-09-13T09:39:20.99999996367842025</v>
      </c>
      <c r="W123" t="s">
        <v>387</v>
      </c>
      <c r="X123">
        <v>2</v>
      </c>
      <c r="Y123">
        <v>2</v>
      </c>
      <c r="Z123">
        <v>2</v>
      </c>
      <c r="AA123">
        <v>3</v>
      </c>
      <c r="AB123">
        <v>3</v>
      </c>
      <c r="AC123">
        <v>1</v>
      </c>
      <c r="AD123">
        <v>1</v>
      </c>
      <c r="AE123">
        <v>4</v>
      </c>
      <c r="AF123">
        <v>5</v>
      </c>
      <c r="AG123">
        <v>2</v>
      </c>
      <c r="AH123">
        <v>3</v>
      </c>
      <c r="AI123">
        <v>3</v>
      </c>
      <c r="AJ123">
        <v>2</v>
      </c>
      <c r="AK123">
        <v>3</v>
      </c>
      <c r="AM123" t="str">
        <f t="shared" si="28"/>
        <v>85</v>
      </c>
      <c r="AN123">
        <f t="shared" si="29"/>
        <v>0</v>
      </c>
      <c r="AO123">
        <f t="shared" si="30"/>
        <v>50</v>
      </c>
      <c r="AP123" s="15">
        <f t="shared" si="31"/>
        <v>75</v>
      </c>
      <c r="AQ123" s="15">
        <f t="shared" si="32"/>
        <v>75</v>
      </c>
      <c r="AR123" s="15">
        <f t="shared" si="33"/>
        <v>100</v>
      </c>
      <c r="AS123" s="15">
        <f t="shared" si="34"/>
        <v>100</v>
      </c>
      <c r="AT123">
        <f t="shared" si="35"/>
        <v>25</v>
      </c>
      <c r="AU123" s="15">
        <f t="shared" si="36"/>
        <v>40</v>
      </c>
      <c r="AV123" s="15">
        <f t="shared" si="37"/>
        <v>60</v>
      </c>
      <c r="AW123">
        <f t="shared" si="38"/>
        <v>20</v>
      </c>
      <c r="AX123">
        <f t="shared" si="39"/>
        <v>50</v>
      </c>
      <c r="BB123" s="14">
        <f t="shared" si="40"/>
        <v>36.0065675305</v>
      </c>
      <c r="BC123" s="14">
        <f t="shared" si="41"/>
        <v>44.373186769</v>
      </c>
      <c r="BE123" s="14">
        <f t="shared" si="42"/>
        <v>35.993837477500001</v>
      </c>
      <c r="BF123" s="14">
        <f t="shared" si="43"/>
        <v>46.031848130999997</v>
      </c>
      <c r="BH123" t="str">
        <f t="shared" si="44"/>
        <v>85</v>
      </c>
      <c r="BI123">
        <f t="shared" si="45"/>
        <v>50</v>
      </c>
      <c r="BJ123">
        <f t="shared" si="46"/>
        <v>50</v>
      </c>
      <c r="BK123" s="15">
        <f t="shared" si="47"/>
        <v>50</v>
      </c>
      <c r="BL123" s="15">
        <f t="shared" si="48"/>
        <v>50</v>
      </c>
      <c r="BM123" s="15">
        <f t="shared" si="49"/>
        <v>100</v>
      </c>
      <c r="BN123" s="15">
        <f t="shared" si="50"/>
        <v>100</v>
      </c>
      <c r="BO123">
        <f t="shared" si="51"/>
        <v>25</v>
      </c>
      <c r="BP123" s="15">
        <f t="shared" si="52"/>
        <v>20</v>
      </c>
      <c r="BQ123" s="15">
        <f t="shared" si="53"/>
        <v>80</v>
      </c>
      <c r="BR123">
        <f t="shared" si="54"/>
        <v>40</v>
      </c>
      <c r="BS123">
        <f t="shared" si="55"/>
        <v>50</v>
      </c>
    </row>
    <row r="124" spans="1:71" x14ac:dyDescent="0.25">
      <c r="A124">
        <v>123</v>
      </c>
      <c r="B124" t="s">
        <v>388</v>
      </c>
      <c r="C124" t="s">
        <v>111</v>
      </c>
      <c r="D124" s="1" t="d">
        <v>2019-05-19T10:55:39.99999978113919375</v>
      </c>
      <c r="E124" s="1" t="d">
        <v>2019-05-19T12:14:18.00000003073364700</v>
      </c>
      <c r="F124" t="s">
        <v>389</v>
      </c>
      <c r="G124">
        <v>2</v>
      </c>
      <c r="H124">
        <v>2</v>
      </c>
      <c r="I124">
        <v>3</v>
      </c>
      <c r="J124">
        <v>4</v>
      </c>
      <c r="K124">
        <v>3</v>
      </c>
      <c r="L124">
        <v>2</v>
      </c>
      <c r="M124">
        <v>2</v>
      </c>
      <c r="N124">
        <v>5</v>
      </c>
      <c r="O124">
        <v>3</v>
      </c>
      <c r="P124">
        <v>1</v>
      </c>
      <c r="Q124">
        <v>3</v>
      </c>
      <c r="R124">
        <v>4</v>
      </c>
      <c r="S124">
        <v>1</v>
      </c>
      <c r="T124">
        <v>4</v>
      </c>
      <c r="U124" s="1" t="d">
        <v>2019-09-12T06:40:46.99999995063990600</v>
      </c>
      <c r="V124" s="1" t="d">
        <v>2019-09-12T07:14:07.99999999813735800</v>
      </c>
      <c r="W124" t="s">
        <v>390</v>
      </c>
      <c r="X124">
        <v>1</v>
      </c>
      <c r="Y124">
        <v>2</v>
      </c>
      <c r="Z124">
        <v>3</v>
      </c>
      <c r="AA124">
        <v>4</v>
      </c>
      <c r="AB124">
        <v>3</v>
      </c>
      <c r="AC124">
        <v>1</v>
      </c>
      <c r="AD124">
        <v>3</v>
      </c>
      <c r="AE124">
        <v>4</v>
      </c>
      <c r="AF124">
        <v>3</v>
      </c>
      <c r="AG124">
        <v>2</v>
      </c>
      <c r="AH124">
        <v>2</v>
      </c>
      <c r="AI124">
        <v>4</v>
      </c>
      <c r="AJ124">
        <v>1</v>
      </c>
      <c r="AK124">
        <v>4</v>
      </c>
      <c r="AM124" t="str">
        <f t="shared" si="28"/>
        <v>85</v>
      </c>
      <c r="AN124">
        <f t="shared" si="29"/>
        <v>50</v>
      </c>
      <c r="AO124">
        <f t="shared" si="30"/>
        <v>100</v>
      </c>
      <c r="AP124" s="15">
        <f t="shared" si="31"/>
        <v>25</v>
      </c>
      <c r="AQ124" s="15">
        <f t="shared" si="32"/>
        <v>50</v>
      </c>
      <c r="AR124" s="15">
        <f t="shared" si="33"/>
        <v>75</v>
      </c>
      <c r="AS124" s="15">
        <f t="shared" si="34"/>
        <v>75</v>
      </c>
      <c r="AT124">
        <f t="shared" si="35"/>
        <v>0</v>
      </c>
      <c r="AU124" s="15">
        <f t="shared" si="36"/>
        <v>60</v>
      </c>
      <c r="AV124" s="15">
        <f t="shared" si="37"/>
        <v>100</v>
      </c>
      <c r="AW124">
        <f t="shared" si="38"/>
        <v>40</v>
      </c>
      <c r="AX124">
        <f t="shared" si="39"/>
        <v>75</v>
      </c>
      <c r="BB124" s="14">
        <f t="shared" si="40"/>
        <v>35.858652427000003</v>
      </c>
      <c r="BC124" s="14">
        <f t="shared" si="41"/>
        <v>48.981870059999991</v>
      </c>
      <c r="BE124" s="14">
        <f t="shared" si="42"/>
        <v>40.216446486499997</v>
      </c>
      <c r="BF124" s="14">
        <f t="shared" si="43"/>
        <v>45.128069824499995</v>
      </c>
      <c r="BH124" t="str">
        <f t="shared" si="44"/>
        <v>100</v>
      </c>
      <c r="BI124">
        <f t="shared" si="45"/>
        <v>50</v>
      </c>
      <c r="BJ124">
        <f t="shared" si="46"/>
        <v>100</v>
      </c>
      <c r="BK124" s="15">
        <f t="shared" si="47"/>
        <v>25</v>
      </c>
      <c r="BL124" s="15">
        <f t="shared" si="48"/>
        <v>50</v>
      </c>
      <c r="BM124" s="15">
        <f t="shared" si="49"/>
        <v>100</v>
      </c>
      <c r="BN124" s="15">
        <f t="shared" si="50"/>
        <v>50</v>
      </c>
      <c r="BO124">
        <f t="shared" si="51"/>
        <v>25</v>
      </c>
      <c r="BP124" s="15">
        <f t="shared" si="52"/>
        <v>60</v>
      </c>
      <c r="BQ124" s="15">
        <f t="shared" si="53"/>
        <v>80</v>
      </c>
      <c r="BR124">
        <f t="shared" si="54"/>
        <v>20</v>
      </c>
      <c r="BS124">
        <f t="shared" si="55"/>
        <v>75</v>
      </c>
    </row>
    <row r="125" spans="1:71" x14ac:dyDescent="0.25">
      <c r="A125">
        <v>124</v>
      </c>
      <c r="B125" t="s">
        <v>391</v>
      </c>
      <c r="C125" t="s">
        <v>111</v>
      </c>
      <c r="D125" s="1" t="d">
        <v>2019-06-22T18:57:10.999999889172613350</v>
      </c>
      <c r="E125" s="1" t="d">
        <v>2019-06-22T19:50:41.99999989941716325</v>
      </c>
      <c r="F125" t="s">
        <v>392</v>
      </c>
      <c r="G125">
        <v>2</v>
      </c>
      <c r="H125">
        <v>2</v>
      </c>
      <c r="I125">
        <v>2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2</v>
      </c>
      <c r="P125">
        <v>2</v>
      </c>
      <c r="Q125">
        <v>4</v>
      </c>
      <c r="R125">
        <v>5</v>
      </c>
      <c r="S125">
        <v>3</v>
      </c>
      <c r="T125">
        <v>1</v>
      </c>
      <c r="U125" s="1" t="d">
        <v>2019-10-19T15:06:52.99999973271042075</v>
      </c>
      <c r="V125" s="1" t="d">
        <v>2019-10-19T15:34:45.00000019557774075</v>
      </c>
      <c r="W125" t="s">
        <v>393</v>
      </c>
      <c r="X125">
        <v>1</v>
      </c>
      <c r="Y125">
        <v>2</v>
      </c>
      <c r="Z125">
        <v>2</v>
      </c>
      <c r="AA125">
        <v>3</v>
      </c>
      <c r="AB125">
        <v>4</v>
      </c>
      <c r="AC125">
        <v>4</v>
      </c>
      <c r="AD125">
        <v>4</v>
      </c>
      <c r="AE125">
        <v>4</v>
      </c>
      <c r="AF125">
        <v>1</v>
      </c>
      <c r="AG125">
        <v>1</v>
      </c>
      <c r="AH125">
        <v>5</v>
      </c>
      <c r="AI125">
        <v>5</v>
      </c>
      <c r="AJ125">
        <v>2</v>
      </c>
      <c r="AK125">
        <v>1</v>
      </c>
      <c r="AM125" t="str">
        <f t="shared" si="28"/>
        <v>85</v>
      </c>
      <c r="AN125">
        <f t="shared" si="29"/>
        <v>50</v>
      </c>
      <c r="AO125">
        <f t="shared" si="30"/>
        <v>50</v>
      </c>
      <c r="AP125" s="15">
        <f t="shared" si="31"/>
        <v>25</v>
      </c>
      <c r="AQ125" s="15">
        <f t="shared" si="32"/>
        <v>25</v>
      </c>
      <c r="AR125" s="15">
        <f t="shared" si="33"/>
        <v>25</v>
      </c>
      <c r="AS125" s="15">
        <f t="shared" si="34"/>
        <v>25</v>
      </c>
      <c r="AT125">
        <f t="shared" si="35"/>
        <v>25</v>
      </c>
      <c r="AU125" s="15">
        <f t="shared" si="36"/>
        <v>80</v>
      </c>
      <c r="AV125" s="15">
        <f t="shared" si="37"/>
        <v>80</v>
      </c>
      <c r="AW125">
        <f t="shared" si="38"/>
        <v>60</v>
      </c>
      <c r="AX125">
        <f t="shared" si="39"/>
        <v>100</v>
      </c>
      <c r="BB125" s="14">
        <f t="shared" si="40"/>
        <v>35.706102607499993</v>
      </c>
      <c r="BC125" s="14">
        <f t="shared" si="41"/>
        <v>46.691366967500002</v>
      </c>
      <c r="BE125" s="14">
        <f t="shared" si="42"/>
        <v>37.356227996000001</v>
      </c>
      <c r="BF125" s="14">
        <f t="shared" si="43"/>
        <v>52.612581116499996</v>
      </c>
      <c r="BH125" t="str">
        <f t="shared" si="44"/>
        <v>100</v>
      </c>
      <c r="BI125">
        <f t="shared" si="45"/>
        <v>50</v>
      </c>
      <c r="BJ125">
        <f t="shared" si="46"/>
        <v>50</v>
      </c>
      <c r="BK125" s="15">
        <f t="shared" si="47"/>
        <v>50</v>
      </c>
      <c r="BL125" s="15">
        <f t="shared" si="48"/>
        <v>25</v>
      </c>
      <c r="BM125" s="15">
        <f t="shared" si="49"/>
        <v>25</v>
      </c>
      <c r="BN125" s="15">
        <f t="shared" si="50"/>
        <v>25</v>
      </c>
      <c r="BO125">
        <f t="shared" si="51"/>
        <v>25</v>
      </c>
      <c r="BP125" s="15">
        <f t="shared" si="52"/>
        <v>100</v>
      </c>
      <c r="BQ125" s="15">
        <f t="shared" si="53"/>
        <v>100</v>
      </c>
      <c r="BR125">
        <f t="shared" si="54"/>
        <v>80</v>
      </c>
      <c r="BS125">
        <f t="shared" si="55"/>
        <v>100</v>
      </c>
    </row>
    <row r="126" spans="1:71" x14ac:dyDescent="0.25">
      <c r="A126">
        <v>125</v>
      </c>
      <c r="B126" t="s">
        <v>394</v>
      </c>
      <c r="C126" t="s">
        <v>111</v>
      </c>
      <c r="D126" s="1" t="d">
        <v>2019-06-19T17:11:15.99999981466681050</v>
      </c>
      <c r="E126" s="1" t="d">
        <v>2019-06-19T17:48:33.99999994318932450</v>
      </c>
      <c r="F126" t="s">
        <v>395</v>
      </c>
      <c r="G126">
        <v>2</v>
      </c>
      <c r="H126">
        <v>1</v>
      </c>
      <c r="I126">
        <v>1</v>
      </c>
      <c r="J126">
        <v>3</v>
      </c>
      <c r="K126">
        <v>3</v>
      </c>
      <c r="L126">
        <v>3</v>
      </c>
      <c r="M126">
        <v>2</v>
      </c>
      <c r="N126">
        <v>5</v>
      </c>
      <c r="O126">
        <v>3</v>
      </c>
      <c r="P126">
        <v>5</v>
      </c>
      <c r="Q126">
        <v>3</v>
      </c>
      <c r="R126">
        <v>3</v>
      </c>
      <c r="S126">
        <v>4</v>
      </c>
      <c r="T126">
        <v>5</v>
      </c>
      <c r="U126" s="1" t="d">
        <v>2019-10-27T08:16:27.99999982584267600</v>
      </c>
      <c r="V126" s="1" t="d">
        <v>2019-10-27T09:10:09.000000287778675</v>
      </c>
      <c r="W126" t="s">
        <v>396</v>
      </c>
      <c r="X126">
        <v>3</v>
      </c>
      <c r="Y126">
        <v>1</v>
      </c>
      <c r="Z126">
        <v>1</v>
      </c>
      <c r="AA126">
        <v>5</v>
      </c>
      <c r="AB126">
        <v>3</v>
      </c>
      <c r="AC126">
        <v>3</v>
      </c>
      <c r="AD126">
        <v>3</v>
      </c>
      <c r="AE126">
        <v>3</v>
      </c>
      <c r="AF126">
        <v>2</v>
      </c>
      <c r="AG126">
        <v>3</v>
      </c>
      <c r="AH126">
        <v>4</v>
      </c>
      <c r="AI126">
        <v>4</v>
      </c>
      <c r="AJ126">
        <v>3</v>
      </c>
      <c r="AK126">
        <v>4</v>
      </c>
      <c r="AM126" t="str">
        <f t="shared" si="28"/>
        <v>85</v>
      </c>
      <c r="AN126">
        <f t="shared" si="29"/>
        <v>0</v>
      </c>
      <c r="AO126">
        <f t="shared" si="30"/>
        <v>0</v>
      </c>
      <c r="AP126" s="15">
        <f t="shared" si="31"/>
        <v>50</v>
      </c>
      <c r="AQ126" s="15">
        <f t="shared" si="32"/>
        <v>50</v>
      </c>
      <c r="AR126" s="15">
        <f t="shared" si="33"/>
        <v>50</v>
      </c>
      <c r="AS126" s="15">
        <f t="shared" si="34"/>
        <v>75</v>
      </c>
      <c r="AT126">
        <f t="shared" si="35"/>
        <v>0</v>
      </c>
      <c r="AU126" s="15">
        <f t="shared" si="36"/>
        <v>60</v>
      </c>
      <c r="AV126" s="15">
        <f t="shared" si="37"/>
        <v>20</v>
      </c>
      <c r="AW126">
        <f t="shared" si="38"/>
        <v>40</v>
      </c>
      <c r="AX126">
        <f t="shared" si="39"/>
        <v>50</v>
      </c>
      <c r="BB126" s="14">
        <f t="shared" si="40"/>
        <v>25.8414817265</v>
      </c>
      <c r="BC126" s="14">
        <f t="shared" si="41"/>
        <v>41.849520079499996</v>
      </c>
      <c r="BE126" s="14">
        <f t="shared" si="42"/>
        <v>27.204264975499996</v>
      </c>
      <c r="BF126" s="14">
        <f t="shared" si="43"/>
        <v>50.557884825499997</v>
      </c>
      <c r="BH126" t="str">
        <f t="shared" si="44"/>
        <v>60</v>
      </c>
      <c r="BI126">
        <f t="shared" si="45"/>
        <v>0</v>
      </c>
      <c r="BJ126">
        <f t="shared" si="46"/>
        <v>0</v>
      </c>
      <c r="BK126" s="15">
        <f t="shared" si="47"/>
        <v>0</v>
      </c>
      <c r="BL126" s="15">
        <f t="shared" si="48"/>
        <v>50</v>
      </c>
      <c r="BM126" s="15">
        <f t="shared" si="49"/>
        <v>50</v>
      </c>
      <c r="BN126" s="15">
        <f t="shared" si="50"/>
        <v>50</v>
      </c>
      <c r="BO126">
        <f t="shared" si="51"/>
        <v>50</v>
      </c>
      <c r="BP126" s="15">
        <f t="shared" si="52"/>
        <v>80</v>
      </c>
      <c r="BQ126" s="15">
        <f t="shared" si="53"/>
        <v>60</v>
      </c>
      <c r="BR126">
        <f t="shared" si="54"/>
        <v>60</v>
      </c>
      <c r="BS126">
        <f t="shared" si="55"/>
        <v>75</v>
      </c>
    </row>
    <row r="127" spans="1:71" x14ac:dyDescent="0.25">
      <c r="A127">
        <v>126</v>
      </c>
      <c r="B127" t="s">
        <v>397</v>
      </c>
      <c r="C127" t="s">
        <v>111</v>
      </c>
      <c r="D127" s="1" t="d">
        <v>2019-06-22T08:08:18.9999999292194825</v>
      </c>
      <c r="E127" s="1" t="d">
        <v>2019-06-22T09:06:44.99999974854290475</v>
      </c>
      <c r="F127" t="s">
        <v>398</v>
      </c>
      <c r="G127">
        <v>2</v>
      </c>
      <c r="H127">
        <v>1</v>
      </c>
      <c r="I127">
        <v>1</v>
      </c>
      <c r="J127">
        <v>3</v>
      </c>
      <c r="K127">
        <v>2</v>
      </c>
      <c r="L127">
        <v>3</v>
      </c>
      <c r="M127">
        <v>3</v>
      </c>
      <c r="N127">
        <v>3</v>
      </c>
      <c r="O127">
        <v>2</v>
      </c>
      <c r="P127">
        <v>3</v>
      </c>
      <c r="Q127">
        <v>5</v>
      </c>
      <c r="R127">
        <v>3</v>
      </c>
      <c r="S127">
        <v>2</v>
      </c>
      <c r="T127">
        <v>2</v>
      </c>
      <c r="AM127" t="str">
        <f t="shared" si="28"/>
        <v>85</v>
      </c>
      <c r="AN127">
        <f t="shared" si="29"/>
        <v>0</v>
      </c>
      <c r="AO127">
        <f t="shared" si="30"/>
        <v>0</v>
      </c>
      <c r="AP127" s="15">
        <f t="shared" si="31"/>
        <v>50</v>
      </c>
      <c r="AQ127" s="15">
        <f t="shared" si="32"/>
        <v>75</v>
      </c>
      <c r="AR127" s="15">
        <f t="shared" si="33"/>
        <v>50</v>
      </c>
      <c r="AS127" s="15">
        <f t="shared" si="34"/>
        <v>50</v>
      </c>
      <c r="AT127">
        <f t="shared" si="35"/>
        <v>50</v>
      </c>
      <c r="AU127" s="15">
        <f t="shared" si="36"/>
        <v>80</v>
      </c>
      <c r="AV127" s="15">
        <f t="shared" si="37"/>
        <v>60</v>
      </c>
      <c r="AW127">
        <f t="shared" si="38"/>
        <v>80</v>
      </c>
      <c r="AX127">
        <f t="shared" si="39"/>
        <v>50</v>
      </c>
      <c r="BB127" s="14">
        <f t="shared" si="40"/>
        <v>33.416829450500003</v>
      </c>
      <c r="BC127" s="14">
        <f t="shared" si="41"/>
        <v>48.933247999000002</v>
      </c>
      <c r="BK127" s="15"/>
      <c r="BL127" s="15"/>
      <c r="BM127" s="15"/>
      <c r="BN127" s="15"/>
      <c r="BP127" s="15"/>
      <c r="BQ127" s="15"/>
    </row>
    <row r="128" spans="1:71" x14ac:dyDescent="0.25">
      <c r="A128">
        <v>127</v>
      </c>
      <c r="B128" t="s">
        <v>399</v>
      </c>
      <c r="C128" t="s">
        <v>111</v>
      </c>
      <c r="D128" s="1" t="d">
        <v>2019-09-01T17:35:06.99999989010393300</v>
      </c>
      <c r="E128" s="1" t="d">
        <v>2019-09-01T18:08:48.99999981746077350</v>
      </c>
      <c r="F128" t="s">
        <v>400</v>
      </c>
      <c r="G128">
        <v>2</v>
      </c>
      <c r="H128">
        <v>1</v>
      </c>
      <c r="I128">
        <v>1</v>
      </c>
      <c r="J128">
        <v>4</v>
      </c>
      <c r="K128">
        <v>3</v>
      </c>
      <c r="L128">
        <v>4</v>
      </c>
      <c r="M128">
        <v>3</v>
      </c>
      <c r="N128">
        <v>2</v>
      </c>
      <c r="O128">
        <v>2</v>
      </c>
      <c r="P128">
        <v>1</v>
      </c>
      <c r="Q128">
        <v>5</v>
      </c>
      <c r="R128">
        <v>4</v>
      </c>
      <c r="S128">
        <v>3</v>
      </c>
      <c r="T128">
        <v>2</v>
      </c>
      <c r="U128" s="1" t="d">
        <v>2020-01-12T12:33:30.9999998705461650</v>
      </c>
      <c r="V128" s="1" t="d">
        <v>2020-01-12T13:02:45.00000001396983525</v>
      </c>
      <c r="W128" t="s">
        <v>401</v>
      </c>
      <c r="X128">
        <v>3</v>
      </c>
      <c r="Y128">
        <v>1</v>
      </c>
      <c r="Z128">
        <v>1</v>
      </c>
      <c r="AA128">
        <v>2</v>
      </c>
      <c r="AB128">
        <v>2</v>
      </c>
      <c r="AC128">
        <v>3</v>
      </c>
      <c r="AD128">
        <v>3</v>
      </c>
      <c r="AE128">
        <v>2</v>
      </c>
      <c r="AF128">
        <v>2</v>
      </c>
      <c r="AG128">
        <v>2</v>
      </c>
      <c r="AH128">
        <v>5</v>
      </c>
      <c r="AI128">
        <v>5</v>
      </c>
      <c r="AJ128">
        <v>3</v>
      </c>
      <c r="AK128">
        <v>3</v>
      </c>
      <c r="AM128" t="str">
        <f t="shared" si="28"/>
        <v>85</v>
      </c>
      <c r="AN128">
        <f t="shared" si="29"/>
        <v>0</v>
      </c>
      <c r="AO128">
        <f t="shared" si="30"/>
        <v>0</v>
      </c>
      <c r="AP128" s="15">
        <f t="shared" si="31"/>
        <v>25</v>
      </c>
      <c r="AQ128" s="15">
        <f t="shared" si="32"/>
        <v>50</v>
      </c>
      <c r="AR128" s="15">
        <f t="shared" si="33"/>
        <v>25</v>
      </c>
      <c r="AS128" s="15">
        <f t="shared" si="34"/>
        <v>50</v>
      </c>
      <c r="AT128">
        <f t="shared" si="35"/>
        <v>75</v>
      </c>
      <c r="AU128" s="15">
        <f t="shared" si="36"/>
        <v>80</v>
      </c>
      <c r="AV128" s="15">
        <f t="shared" si="37"/>
        <v>100</v>
      </c>
      <c r="AW128">
        <f t="shared" si="38"/>
        <v>80</v>
      </c>
      <c r="AX128">
        <f t="shared" si="39"/>
        <v>75</v>
      </c>
      <c r="BB128" s="14">
        <f t="shared" si="40"/>
        <v>35.873859956999993</v>
      </c>
      <c r="BC128" s="14">
        <f t="shared" si="41"/>
        <v>51.893875740499993</v>
      </c>
      <c r="BE128" s="14">
        <f t="shared" si="42"/>
        <v>37.432201735</v>
      </c>
      <c r="BF128" s="14">
        <f t="shared" si="43"/>
        <v>54.534738835999995</v>
      </c>
      <c r="BH128" t="str">
        <f t="shared" si="44"/>
        <v>60</v>
      </c>
      <c r="BI128">
        <f t="shared" si="45"/>
        <v>0</v>
      </c>
      <c r="BJ128">
        <f t="shared" si="46"/>
        <v>0</v>
      </c>
      <c r="BK128" s="15">
        <f t="shared" si="47"/>
        <v>75</v>
      </c>
      <c r="BL128" s="15">
        <f t="shared" si="48"/>
        <v>75</v>
      </c>
      <c r="BM128" s="15">
        <f t="shared" si="49"/>
        <v>50</v>
      </c>
      <c r="BN128" s="15">
        <f t="shared" si="50"/>
        <v>50</v>
      </c>
      <c r="BO128">
        <f t="shared" si="51"/>
        <v>75</v>
      </c>
      <c r="BP128" s="15">
        <f t="shared" si="52"/>
        <v>80</v>
      </c>
      <c r="BQ128" s="15">
        <f t="shared" si="53"/>
        <v>80</v>
      </c>
      <c r="BR128">
        <f t="shared" si="54"/>
        <v>80</v>
      </c>
      <c r="BS128">
        <f t="shared" si="55"/>
        <v>100</v>
      </c>
    </row>
    <row r="129" spans="1:71" x14ac:dyDescent="0.25">
      <c r="A129">
        <v>128</v>
      </c>
      <c r="B129" t="s">
        <v>402</v>
      </c>
      <c r="C129" t="s">
        <v>111</v>
      </c>
      <c r="D129" s="1" t="d">
        <v>2019-07-20T05:37:49.000000040978193525</v>
      </c>
      <c r="E129" s="1" t="d">
        <v>2019-07-20T06:26:46.99999972712248800</v>
      </c>
      <c r="F129" t="s">
        <v>403</v>
      </c>
      <c r="G129">
        <v>2</v>
      </c>
      <c r="H129">
        <v>2</v>
      </c>
      <c r="I129">
        <v>2</v>
      </c>
      <c r="J129">
        <v>3</v>
      </c>
      <c r="K129">
        <v>2</v>
      </c>
      <c r="L129">
        <v>3</v>
      </c>
      <c r="M129">
        <v>2</v>
      </c>
      <c r="N129">
        <v>4</v>
      </c>
      <c r="O129">
        <v>3</v>
      </c>
      <c r="P129">
        <v>2</v>
      </c>
      <c r="Q129">
        <v>3</v>
      </c>
      <c r="R129">
        <v>4</v>
      </c>
      <c r="S129">
        <v>1</v>
      </c>
      <c r="T129">
        <v>1</v>
      </c>
      <c r="U129" s="1" t="d">
        <v>2019-12-20T17:10:00.0000002793967725</v>
      </c>
      <c r="V129" s="1" t="d">
        <v>2019-12-20T18:35:58.99999989196658175</v>
      </c>
      <c r="W129" t="s">
        <v>404</v>
      </c>
      <c r="X129">
        <v>2</v>
      </c>
      <c r="Y129">
        <v>1</v>
      </c>
      <c r="Z129">
        <v>2</v>
      </c>
      <c r="AA129">
        <v>4</v>
      </c>
      <c r="AB129">
        <v>3</v>
      </c>
      <c r="AC129">
        <v>3</v>
      </c>
      <c r="AD129">
        <v>4</v>
      </c>
      <c r="AE129">
        <v>5</v>
      </c>
      <c r="AF129">
        <v>6</v>
      </c>
      <c r="AG129">
        <v>6</v>
      </c>
      <c r="AH129">
        <v>2</v>
      </c>
      <c r="AI129">
        <v>3</v>
      </c>
      <c r="AJ129">
        <v>1</v>
      </c>
      <c r="AK129">
        <v>2</v>
      </c>
      <c r="AM129" t="str">
        <f t="shared" si="28"/>
        <v>85</v>
      </c>
      <c r="AN129">
        <f t="shared" si="29"/>
        <v>50</v>
      </c>
      <c r="AO129">
        <f t="shared" si="30"/>
        <v>50</v>
      </c>
      <c r="AP129" s="15">
        <f t="shared" si="31"/>
        <v>50</v>
      </c>
      <c r="AQ129" s="15">
        <f t="shared" si="32"/>
        <v>75</v>
      </c>
      <c r="AR129" s="15">
        <f t="shared" si="33"/>
        <v>50</v>
      </c>
      <c r="AS129" s="15">
        <f t="shared" si="34"/>
        <v>75</v>
      </c>
      <c r="AT129">
        <f t="shared" si="35"/>
        <v>25</v>
      </c>
      <c r="AU129" s="15">
        <f t="shared" si="36"/>
        <v>60</v>
      </c>
      <c r="AV129" s="15">
        <f t="shared" si="37"/>
        <v>80</v>
      </c>
      <c r="AW129">
        <f t="shared" si="38"/>
        <v>40</v>
      </c>
      <c r="AX129">
        <f t="shared" si="39"/>
        <v>75</v>
      </c>
      <c r="BB129" s="14">
        <f t="shared" si="40"/>
        <v>39.953095004999994</v>
      </c>
      <c r="BC129" s="14">
        <f t="shared" si="41"/>
        <v>44.150104527999993</v>
      </c>
      <c r="BE129" s="14">
        <f t="shared" si="42"/>
        <v>32.416870319499999</v>
      </c>
      <c r="BF129" s="14">
        <f t="shared" si="43"/>
        <v>25.915752298499996</v>
      </c>
      <c r="BH129" t="str">
        <f t="shared" si="44"/>
        <v>85</v>
      </c>
      <c r="BI129">
        <f t="shared" si="45"/>
        <v>0</v>
      </c>
      <c r="BJ129">
        <f t="shared" si="46"/>
        <v>50</v>
      </c>
      <c r="BK129" s="15">
        <f t="shared" si="47"/>
        <v>25</v>
      </c>
      <c r="BL129" s="15">
        <f t="shared" si="48"/>
        <v>50</v>
      </c>
      <c r="BM129" s="15">
        <f t="shared" si="49"/>
        <v>50</v>
      </c>
      <c r="BN129" s="15">
        <f t="shared" si="50"/>
        <v>25</v>
      </c>
      <c r="BO129">
        <f t="shared" si="51"/>
        <v>0</v>
      </c>
      <c r="BP129" s="15">
        <f t="shared" si="52"/>
        <v>0</v>
      </c>
      <c r="BQ129" s="15">
        <f t="shared" si="53"/>
        <v>0</v>
      </c>
      <c r="BR129">
        <f t="shared" si="54"/>
        <v>20</v>
      </c>
      <c r="BS129">
        <f t="shared" si="55"/>
        <v>50</v>
      </c>
    </row>
    <row r="130" spans="1:71" x14ac:dyDescent="0.25">
      <c r="A130">
        <v>129</v>
      </c>
      <c r="B130" t="s">
        <v>405</v>
      </c>
      <c r="C130" t="s">
        <v>111</v>
      </c>
      <c r="D130" s="1" t="d">
        <v>2019-07-27T16:54:13.99999979417770800</v>
      </c>
      <c r="E130" s="1" t="d">
        <v>2019-07-27T17:23:45.99999974481761400</v>
      </c>
      <c r="F130" t="s">
        <v>406</v>
      </c>
      <c r="G130">
        <v>3</v>
      </c>
      <c r="H130">
        <v>2</v>
      </c>
      <c r="I130">
        <v>3</v>
      </c>
      <c r="J130">
        <v>2</v>
      </c>
      <c r="K130">
        <v>2</v>
      </c>
      <c r="L130">
        <v>5</v>
      </c>
      <c r="M130">
        <v>5</v>
      </c>
      <c r="N130">
        <v>2</v>
      </c>
      <c r="O130">
        <v>2</v>
      </c>
      <c r="P130">
        <v>2</v>
      </c>
      <c r="Q130">
        <v>4</v>
      </c>
      <c r="R130">
        <v>4</v>
      </c>
      <c r="S130">
        <v>3</v>
      </c>
      <c r="T130">
        <v>4</v>
      </c>
      <c r="U130" s="1" t="d">
        <v>2019-12-14T19:02:59.99999974854290475</v>
      </c>
      <c r="V130" s="1" t="d">
        <v>2019-12-14T19:37:40.00000003259628900</v>
      </c>
      <c r="W130" t="s">
        <v>407</v>
      </c>
      <c r="X130">
        <v>3</v>
      </c>
      <c r="Y130">
        <v>3</v>
      </c>
      <c r="Z130">
        <v>3</v>
      </c>
      <c r="AA130">
        <v>5</v>
      </c>
      <c r="AB130">
        <v>3</v>
      </c>
      <c r="AC130">
        <v>5</v>
      </c>
      <c r="AD130">
        <v>5</v>
      </c>
      <c r="AE130">
        <v>4</v>
      </c>
      <c r="AF130">
        <v>2</v>
      </c>
      <c r="AG130">
        <v>1</v>
      </c>
      <c r="AH130">
        <v>5</v>
      </c>
      <c r="AI130">
        <v>2</v>
      </c>
      <c r="AJ130">
        <v>1</v>
      </c>
      <c r="AK130">
        <v>1</v>
      </c>
      <c r="AM130" t="str">
        <f t="shared" si="28"/>
        <v>60</v>
      </c>
      <c r="AN130">
        <f t="shared" si="29"/>
        <v>50</v>
      </c>
      <c r="AO130">
        <f t="shared" si="30"/>
        <v>100</v>
      </c>
      <c r="AP130" s="15">
        <f t="shared" si="31"/>
        <v>75</v>
      </c>
      <c r="AQ130" s="15">
        <f t="shared" si="32"/>
        <v>75</v>
      </c>
      <c r="AR130" s="15">
        <f t="shared" si="33"/>
        <v>0</v>
      </c>
      <c r="AS130" s="15">
        <f t="shared" si="34"/>
        <v>0</v>
      </c>
      <c r="AT130">
        <f t="shared" si="35"/>
        <v>75</v>
      </c>
      <c r="AU130" s="15">
        <f t="shared" si="36"/>
        <v>80</v>
      </c>
      <c r="AV130" s="15">
        <f t="shared" si="37"/>
        <v>80</v>
      </c>
      <c r="AW130">
        <f t="shared" si="38"/>
        <v>60</v>
      </c>
      <c r="AX130">
        <f t="shared" si="39"/>
        <v>75</v>
      </c>
      <c r="BB130" s="14">
        <f t="shared" si="40"/>
        <v>53.614382107500006</v>
      </c>
      <c r="BC130" s="14">
        <f t="shared" si="41"/>
        <v>33.522255897500003</v>
      </c>
      <c r="BE130" s="14">
        <f t="shared" si="42"/>
        <v>42.239293829499999</v>
      </c>
      <c r="BF130" s="14">
        <f t="shared" si="43"/>
        <v>34.417658930500004</v>
      </c>
      <c r="BH130" t="str">
        <f t="shared" si="44"/>
        <v>60</v>
      </c>
      <c r="BI130">
        <f t="shared" si="45"/>
        <v>100</v>
      </c>
      <c r="BJ130">
        <f t="shared" si="46"/>
        <v>100</v>
      </c>
      <c r="BK130" s="15">
        <f t="shared" si="47"/>
        <v>0</v>
      </c>
      <c r="BL130" s="15">
        <f t="shared" si="48"/>
        <v>50</v>
      </c>
      <c r="BM130" s="15">
        <f t="shared" si="49"/>
        <v>0</v>
      </c>
      <c r="BN130" s="15">
        <f t="shared" si="50"/>
        <v>0</v>
      </c>
      <c r="BO130">
        <f t="shared" si="51"/>
        <v>25</v>
      </c>
      <c r="BP130" s="15">
        <f t="shared" si="52"/>
        <v>80</v>
      </c>
      <c r="BQ130" s="15">
        <f t="shared" si="53"/>
        <v>100</v>
      </c>
      <c r="BR130">
        <f t="shared" si="54"/>
        <v>80</v>
      </c>
      <c r="BS130">
        <f t="shared" si="55"/>
        <v>25</v>
      </c>
    </row>
    <row r="131" spans="1:71" x14ac:dyDescent="0.25">
      <c r="A131">
        <v>130</v>
      </c>
      <c r="B131" t="s">
        <v>408</v>
      </c>
      <c r="C131" t="s">
        <v>111</v>
      </c>
      <c r="D131" s="1" t="d">
        <v>2019-07-16T14:09:30.00000018160789875</v>
      </c>
      <c r="E131" s="1" t="d">
        <v>2019-07-16T14:26:16.9999998388811945700</v>
      </c>
      <c r="F131" t="s">
        <v>409</v>
      </c>
      <c r="G131">
        <v>3</v>
      </c>
      <c r="H131">
        <v>2</v>
      </c>
      <c r="I131">
        <v>3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5</v>
      </c>
      <c r="P131">
        <v>6</v>
      </c>
      <c r="Q131">
        <v>2</v>
      </c>
      <c r="R131">
        <v>3</v>
      </c>
      <c r="S131">
        <v>2</v>
      </c>
      <c r="T131">
        <v>1</v>
      </c>
      <c r="AM131" t="str">
        <f t="shared" ref="AM131:AM169" si="56">IF(G131=1,"100",IF(G131=2,"85",IF(G131=3,"60",IF(G131=4,"35","0"))))</f>
        <v>60</v>
      </c>
      <c r="AN131">
        <f t="shared" ref="AN131:AN169" si="57">(H131-1)*50</f>
        <v>50</v>
      </c>
      <c r="AO131">
        <f t="shared" ref="AO131:AO169" si="58">(I131-1)*50</f>
        <v>100</v>
      </c>
      <c r="AP131" s="15">
        <f t="shared" ref="AP131:AP169" si="59">(5-J131)*25</f>
        <v>25</v>
      </c>
      <c r="AQ131" s="15">
        <f t="shared" ref="AQ131:AQ169" si="60">(5-K131)*25</f>
        <v>25</v>
      </c>
      <c r="AR131" s="15">
        <f t="shared" ref="AR131:AR169" si="61">(5-L131)*25</f>
        <v>25</v>
      </c>
      <c r="AS131" s="15">
        <f t="shared" ref="AS131:AS169" si="62">(5-M131)*25</f>
        <v>25</v>
      </c>
      <c r="AT131">
        <f t="shared" ref="AT131:AT169" si="63">(5-N131)*25</f>
        <v>25</v>
      </c>
      <c r="AU131" s="15">
        <f t="shared" ref="AU131:AU169" si="64">(6-O131)*20</f>
        <v>20</v>
      </c>
      <c r="AV131" s="15">
        <f t="shared" ref="AV131:AV169" si="65">(6-P131)*20</f>
        <v>0</v>
      </c>
      <c r="AW131">
        <f t="shared" ref="AW131:AW169" si="66" xml:space="preserve"> (Q131-1)*20</f>
        <v>20</v>
      </c>
      <c r="AX131">
        <f t="shared" ref="AX131:AX169" si="67">(R131-1)*25</f>
        <v>50</v>
      </c>
      <c r="BB131" s="14">
        <f t="shared" ref="BB131:BB169" si="68">(0.0782523751*AM131)+(0.065064013*AN131)+(0.0748361349*AO131)+(0.0716978312*AP131)+(0.0741541386*AQ131)+((-0.057598263)*AR131)+((-0.032268941)*AS131)+(0.1339749098*AT131)+((-0.042411864)*AU131)+(0.0299689621*AV131)+((-0.053362399)*AW131)+(0.0046096779*AX131)+21.046859741</f>
        <v>39.542806912000003</v>
      </c>
      <c r="BC131" s="14">
        <f t="shared" ref="BC131:BC169" si="69">(-0.000915925*AM131)+(-0.035498649*AN131)+(-0.03157714*AO131)+(-0.0251735*AP131)+(-0.024652228*AQ131)+(0.1266860962*AR131)+(0.0808723569*AS131)+(-0.024371371*AT131)+(0.1094084978*AU131)+(0.0694271326*AV131)+(0.1493788958*AW131)+(0.1085734367*AX131)+12.66204834</f>
        <v>21.612899949500001</v>
      </c>
      <c r="BK131" s="15"/>
      <c r="BL131" s="15"/>
      <c r="BM131" s="15"/>
      <c r="BN131" s="15"/>
      <c r="BP131" s="15"/>
      <c r="BQ131" s="15"/>
    </row>
    <row r="132" spans="1:71" x14ac:dyDescent="0.25">
      <c r="A132">
        <v>131</v>
      </c>
      <c r="B132" t="s">
        <v>410</v>
      </c>
      <c r="C132" t="s">
        <v>111</v>
      </c>
      <c r="D132" s="1" t="d">
        <v>2019-07-23T12:42:25.9999998332932575</v>
      </c>
      <c r="E132" s="1" t="d">
        <v>2019-07-23T13:21:06.0000002710148700</v>
      </c>
      <c r="F132" t="s">
        <v>411</v>
      </c>
      <c r="G132">
        <v>4</v>
      </c>
      <c r="H132">
        <v>1</v>
      </c>
      <c r="I132">
        <v>1</v>
      </c>
      <c r="J132">
        <v>4</v>
      </c>
      <c r="K132">
        <v>2</v>
      </c>
      <c r="L132">
        <v>4</v>
      </c>
      <c r="M132">
        <v>3</v>
      </c>
      <c r="N132">
        <v>3</v>
      </c>
      <c r="O132">
        <v>2</v>
      </c>
      <c r="P132">
        <v>2</v>
      </c>
      <c r="Q132">
        <v>2</v>
      </c>
      <c r="R132">
        <v>3</v>
      </c>
      <c r="S132">
        <v>4</v>
      </c>
      <c r="T132">
        <v>3</v>
      </c>
      <c r="U132" s="1" t="d">
        <v>2019-12-14T22:02:59.99999974854290475</v>
      </c>
      <c r="V132" s="1" t="d">
        <v>2019-12-14T22:40:04.99999998137354625</v>
      </c>
      <c r="W132" t="s">
        <v>412</v>
      </c>
      <c r="X132">
        <v>4</v>
      </c>
      <c r="Y132">
        <v>1</v>
      </c>
      <c r="Z132">
        <v>1</v>
      </c>
      <c r="AA132">
        <v>5</v>
      </c>
      <c r="AB132">
        <v>4</v>
      </c>
      <c r="AC132">
        <v>5</v>
      </c>
      <c r="AD132">
        <v>4</v>
      </c>
      <c r="AE132">
        <v>4</v>
      </c>
      <c r="AF132">
        <v>2</v>
      </c>
      <c r="AG132">
        <v>1</v>
      </c>
      <c r="AH132">
        <v>5</v>
      </c>
      <c r="AI132">
        <v>4</v>
      </c>
      <c r="AJ132">
        <v>1</v>
      </c>
      <c r="AK132">
        <v>1</v>
      </c>
      <c r="AM132" t="str">
        <f t="shared" si="56"/>
        <v>35</v>
      </c>
      <c r="AN132">
        <f t="shared" si="57"/>
        <v>0</v>
      </c>
      <c r="AO132">
        <f t="shared" si="58"/>
        <v>0</v>
      </c>
      <c r="AP132" s="15">
        <f t="shared" si="59"/>
        <v>25</v>
      </c>
      <c r="AQ132" s="15">
        <f t="shared" si="60"/>
        <v>75</v>
      </c>
      <c r="AR132" s="15">
        <f t="shared" si="61"/>
        <v>25</v>
      </c>
      <c r="AS132" s="15">
        <f t="shared" si="62"/>
        <v>50</v>
      </c>
      <c r="AT132">
        <f t="shared" si="63"/>
        <v>50</v>
      </c>
      <c r="AU132" s="15">
        <f t="shared" si="64"/>
        <v>80</v>
      </c>
      <c r="AV132" s="15">
        <f t="shared" si="65"/>
        <v>80</v>
      </c>
      <c r="AW132">
        <f t="shared" si="66"/>
        <v>20</v>
      </c>
      <c r="AX132">
        <f t="shared" si="67"/>
        <v>50</v>
      </c>
      <c r="BB132" s="14">
        <f t="shared" si="68"/>
        <v>32.952844672499999</v>
      </c>
      <c r="BC132" s="14">
        <f t="shared" si="69"/>
        <v>38.867038248</v>
      </c>
      <c r="BE132" s="14">
        <f t="shared" ref="BE132:BE169" si="70">(0.0782523751*BH132)+(0.065064013*BI132)+(0.0748361349*BJ132)+(0.0716978312*BK132)+(0.0741541386*BL132)+((-0.057598263)*BM132)+((-0.032268941)*BN132)+(0.1339749098*BO132)+((-0.042411864)*BP132)+(0.0299689621*BQ132)+((-0.053362399)*BR132)+(0.0046096779*BS132)+21.046859741</f>
        <v>23.862876567000001</v>
      </c>
      <c r="BF132" s="14">
        <f t="shared" ref="BF132:BF169" si="71">(-0.000915925*BH132)+(-0.035498649*BI132)+(-0.03157714*BJ132)+(-0.0251735*BK132)+(-0.024652228*BL132)+(0.1266860962*BM132)+(0.0808723569*BN132)+(-0.024371371*BO132)+(0.1094084978*BP132)+(0.0694271326*BQ132)+(0.1493788958*BR132)+(0.1085734367*BS132)+12.66204834</f>
        <v>49.214922412999996</v>
      </c>
      <c r="BH132" t="str">
        <f t="shared" ref="BH132:BH169" si="72">IF(X132=1,"100",IF(X132=2,"85",IF(X132=3,"60",IF(X132=4,"35","0"))))</f>
        <v>35</v>
      </c>
      <c r="BI132">
        <f t="shared" ref="BI132:BI169" si="73">(Y132-1)*50</f>
        <v>0</v>
      </c>
      <c r="BJ132">
        <f t="shared" ref="BJ132:BJ169" si="74">(Z132-1)*50</f>
        <v>0</v>
      </c>
      <c r="BK132" s="15">
        <f t="shared" ref="BK132:BK169" si="75">(5-AA132)*25</f>
        <v>0</v>
      </c>
      <c r="BL132" s="15">
        <f t="shared" ref="BL132:BL169" si="76">(5-AB132)*25</f>
        <v>25</v>
      </c>
      <c r="BM132" s="15">
        <f t="shared" ref="BM132:BM169" si="77">(5-AC132)*25</f>
        <v>0</v>
      </c>
      <c r="BN132" s="15">
        <f t="shared" ref="BN132:BN169" si="78">(5-AD132)*25</f>
        <v>25</v>
      </c>
      <c r="BO132">
        <f t="shared" ref="BO132:BO169" si="79">(5-AE132)*25</f>
        <v>25</v>
      </c>
      <c r="BP132" s="15">
        <f t="shared" ref="BP132:BP169" si="80">(6-AF132)*20</f>
        <v>80</v>
      </c>
      <c r="BQ132" s="15">
        <f t="shared" ref="BQ132:BQ169" si="81">(6-AG132)*20</f>
        <v>100</v>
      </c>
      <c r="BR132">
        <f t="shared" ref="BR132:BR169" si="82" xml:space="preserve"> (AH132-1)*20</f>
        <v>80</v>
      </c>
      <c r="BS132">
        <f t="shared" ref="BS132:BS169" si="83">(AI132-1)*25</f>
        <v>75</v>
      </c>
    </row>
    <row r="133" spans="1:71" x14ac:dyDescent="0.25">
      <c r="A133">
        <v>132</v>
      </c>
      <c r="B133" t="s">
        <v>413</v>
      </c>
      <c r="C133" t="s">
        <v>111</v>
      </c>
      <c r="D133" s="1" t="d">
        <v>2019-08-02T07:00:56.99999991338699850</v>
      </c>
      <c r="E133" s="1" t="d">
        <v>2019-08-02T07:42:45.00000029336660775</v>
      </c>
      <c r="F133" t="s">
        <v>414</v>
      </c>
      <c r="G133">
        <v>3</v>
      </c>
      <c r="H133">
        <v>2</v>
      </c>
      <c r="I133">
        <v>2</v>
      </c>
      <c r="J133">
        <v>3</v>
      </c>
      <c r="K133">
        <v>3</v>
      </c>
      <c r="L133">
        <v>4</v>
      </c>
      <c r="M133">
        <v>2</v>
      </c>
      <c r="N133">
        <v>3</v>
      </c>
      <c r="O133">
        <v>5</v>
      </c>
      <c r="P133">
        <v>2</v>
      </c>
      <c r="Q133">
        <v>3</v>
      </c>
      <c r="R133">
        <v>5</v>
      </c>
      <c r="S133">
        <v>4</v>
      </c>
      <c r="T133">
        <v>3</v>
      </c>
      <c r="U133" s="1" t="d">
        <v>2019-12-05T16:26:58.999999808147550</v>
      </c>
      <c r="V133" s="1" t="d">
        <v>2019-12-05T16:55:45.99999992642551950</v>
      </c>
      <c r="W133" t="s">
        <v>415</v>
      </c>
      <c r="X133">
        <v>3</v>
      </c>
      <c r="Y133">
        <v>1</v>
      </c>
      <c r="Z133">
        <v>2</v>
      </c>
      <c r="AA133">
        <v>3</v>
      </c>
      <c r="AB133">
        <v>4</v>
      </c>
      <c r="AC133">
        <v>5</v>
      </c>
      <c r="AD133">
        <v>3</v>
      </c>
      <c r="AE133">
        <v>2</v>
      </c>
      <c r="AF133">
        <v>3</v>
      </c>
      <c r="AG133">
        <v>3</v>
      </c>
      <c r="AH133">
        <v>3</v>
      </c>
      <c r="AI133">
        <v>4</v>
      </c>
      <c r="AJ133">
        <v>5</v>
      </c>
      <c r="AK133">
        <v>2</v>
      </c>
      <c r="AM133" t="str">
        <f t="shared" si="56"/>
        <v>60</v>
      </c>
      <c r="AN133">
        <f t="shared" si="57"/>
        <v>50</v>
      </c>
      <c r="AO133">
        <f t="shared" si="58"/>
        <v>50</v>
      </c>
      <c r="AP133" s="15">
        <f t="shared" si="59"/>
        <v>50</v>
      </c>
      <c r="AQ133" s="15">
        <f t="shared" si="60"/>
        <v>50</v>
      </c>
      <c r="AR133" s="15">
        <f t="shared" si="61"/>
        <v>25</v>
      </c>
      <c r="AS133" s="15">
        <f t="shared" si="62"/>
        <v>75</v>
      </c>
      <c r="AT133">
        <f t="shared" si="63"/>
        <v>50</v>
      </c>
      <c r="AU133" s="15">
        <f t="shared" si="64"/>
        <v>20</v>
      </c>
      <c r="AV133" s="15">
        <f t="shared" si="65"/>
        <v>80</v>
      </c>
      <c r="AW133">
        <f t="shared" si="66"/>
        <v>40</v>
      </c>
      <c r="AX133">
        <f t="shared" si="67"/>
        <v>100</v>
      </c>
      <c r="BB133" s="14">
        <f t="shared" si="68"/>
        <v>42.743977990000005</v>
      </c>
      <c r="BC133" s="14">
        <f t="shared" si="69"/>
        <v>39.350867678499995</v>
      </c>
      <c r="BE133" s="14">
        <f t="shared" si="70"/>
        <v>40.821880970500004</v>
      </c>
      <c r="BF133" s="14">
        <f t="shared" si="71"/>
        <v>36.217321568499997</v>
      </c>
      <c r="BH133" t="str">
        <f t="shared" si="72"/>
        <v>60</v>
      </c>
      <c r="BI133">
        <f t="shared" si="73"/>
        <v>0</v>
      </c>
      <c r="BJ133">
        <f t="shared" si="74"/>
        <v>50</v>
      </c>
      <c r="BK133" s="15">
        <f t="shared" si="75"/>
        <v>50</v>
      </c>
      <c r="BL133" s="15">
        <f t="shared" si="76"/>
        <v>25</v>
      </c>
      <c r="BM133" s="15">
        <f t="shared" si="77"/>
        <v>0</v>
      </c>
      <c r="BN133" s="15">
        <f t="shared" si="78"/>
        <v>50</v>
      </c>
      <c r="BO133">
        <f t="shared" si="79"/>
        <v>75</v>
      </c>
      <c r="BP133" s="15">
        <f t="shared" si="80"/>
        <v>60</v>
      </c>
      <c r="BQ133" s="15">
        <f t="shared" si="81"/>
        <v>60</v>
      </c>
      <c r="BR133">
        <f t="shared" si="82"/>
        <v>40</v>
      </c>
      <c r="BS133">
        <f t="shared" si="83"/>
        <v>75</v>
      </c>
    </row>
    <row r="134" spans="1:71" x14ac:dyDescent="0.25">
      <c r="A134">
        <v>133</v>
      </c>
      <c r="B134" t="s">
        <v>416</v>
      </c>
      <c r="C134" t="s">
        <v>111</v>
      </c>
      <c r="D134" s="1" t="d">
        <v>2019-09-29T10:30:09.999999823048710975</v>
      </c>
      <c r="E134" s="1" t="d">
        <v>2019-09-29T10:54:26.99999968986958050</v>
      </c>
      <c r="F134" t="s">
        <v>417</v>
      </c>
      <c r="G134">
        <v>2</v>
      </c>
      <c r="H134">
        <v>2</v>
      </c>
      <c r="I134">
        <v>3</v>
      </c>
      <c r="J134">
        <v>3</v>
      </c>
      <c r="K134">
        <v>3</v>
      </c>
      <c r="L134">
        <v>3</v>
      </c>
      <c r="M134">
        <v>3</v>
      </c>
      <c r="N134">
        <v>4</v>
      </c>
      <c r="O134">
        <v>3</v>
      </c>
      <c r="P134">
        <v>2</v>
      </c>
      <c r="Q134">
        <v>4</v>
      </c>
      <c r="R134">
        <v>2</v>
      </c>
      <c r="S134">
        <v>2</v>
      </c>
      <c r="T134">
        <v>1</v>
      </c>
      <c r="U134" s="1" t="d">
        <v>2020-02-11T08:57:11.9999997038394225</v>
      </c>
      <c r="V134" s="1" t="d">
        <v>2020-02-11T09:14:41.9999999832361950</v>
      </c>
      <c r="W134" t="s">
        <v>418</v>
      </c>
      <c r="X134">
        <v>2</v>
      </c>
      <c r="Y134">
        <v>2</v>
      </c>
      <c r="Z134">
        <v>2</v>
      </c>
      <c r="AA134">
        <v>3</v>
      </c>
      <c r="AB134">
        <v>4</v>
      </c>
      <c r="AC134">
        <v>3</v>
      </c>
      <c r="AD134">
        <v>3</v>
      </c>
      <c r="AE134">
        <v>4</v>
      </c>
      <c r="AF134">
        <v>2</v>
      </c>
      <c r="AG134">
        <v>1</v>
      </c>
      <c r="AH134">
        <v>5</v>
      </c>
      <c r="AI134">
        <v>4</v>
      </c>
      <c r="AJ134">
        <v>2</v>
      </c>
      <c r="AK134">
        <v>2</v>
      </c>
      <c r="AM134" t="str">
        <f t="shared" si="56"/>
        <v>85</v>
      </c>
      <c r="AN134">
        <f t="shared" si="57"/>
        <v>50</v>
      </c>
      <c r="AO134">
        <f t="shared" si="58"/>
        <v>100</v>
      </c>
      <c r="AP134" s="15">
        <f t="shared" si="59"/>
        <v>50</v>
      </c>
      <c r="AQ134" s="15">
        <f t="shared" si="60"/>
        <v>50</v>
      </c>
      <c r="AR134" s="15">
        <f t="shared" si="61"/>
        <v>50</v>
      </c>
      <c r="AS134" s="15">
        <f t="shared" si="62"/>
        <v>50</v>
      </c>
      <c r="AT134">
        <f t="shared" si="63"/>
        <v>25</v>
      </c>
      <c r="AU134" s="15">
        <f t="shared" si="64"/>
        <v>60</v>
      </c>
      <c r="AV134" s="15">
        <f t="shared" si="65"/>
        <v>80</v>
      </c>
      <c r="AW134">
        <f t="shared" si="66"/>
        <v>60</v>
      </c>
      <c r="AX134">
        <f t="shared" si="67"/>
        <v>25</v>
      </c>
      <c r="BB134" s="14">
        <f t="shared" si="68"/>
        <v>41.350039934999998</v>
      </c>
      <c r="BC134" s="14">
        <f t="shared" si="69"/>
        <v>38.724650386500002</v>
      </c>
      <c r="BE134" s="14">
        <f t="shared" si="70"/>
        <v>34.668757601999999</v>
      </c>
      <c r="BF134" s="14">
        <f t="shared" si="71"/>
        <v>52.912775445499996</v>
      </c>
      <c r="BH134" t="str">
        <f t="shared" si="72"/>
        <v>85</v>
      </c>
      <c r="BI134">
        <f t="shared" si="73"/>
        <v>50</v>
      </c>
      <c r="BJ134">
        <f t="shared" si="74"/>
        <v>50</v>
      </c>
      <c r="BK134" s="15">
        <f t="shared" si="75"/>
        <v>50</v>
      </c>
      <c r="BL134" s="15">
        <f t="shared" si="76"/>
        <v>25</v>
      </c>
      <c r="BM134" s="15">
        <f t="shared" si="77"/>
        <v>50</v>
      </c>
      <c r="BN134" s="15">
        <f t="shared" si="78"/>
        <v>50</v>
      </c>
      <c r="BO134">
        <f t="shared" si="79"/>
        <v>25</v>
      </c>
      <c r="BP134" s="15">
        <f t="shared" si="80"/>
        <v>80</v>
      </c>
      <c r="BQ134" s="15">
        <f t="shared" si="81"/>
        <v>100</v>
      </c>
      <c r="BR134">
        <f t="shared" si="82"/>
        <v>80</v>
      </c>
      <c r="BS134">
        <f t="shared" si="83"/>
        <v>75</v>
      </c>
    </row>
    <row r="135" spans="1:71" x14ac:dyDescent="0.25">
      <c r="A135">
        <v>134</v>
      </c>
      <c r="B135" t="s">
        <v>419</v>
      </c>
      <c r="C135" t="s">
        <v>111</v>
      </c>
      <c r="D135" s="1" t="d">
        <v>2019-08-05T16:17:33.00000014249235600</v>
      </c>
      <c r="E135" s="1" t="d">
        <v>2019-08-05T17:29:00.99999982863664575</v>
      </c>
      <c r="F135" t="s">
        <v>420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4</v>
      </c>
      <c r="M135">
        <v>4</v>
      </c>
      <c r="N135">
        <v>3</v>
      </c>
      <c r="O135">
        <v>2</v>
      </c>
      <c r="P135">
        <v>1</v>
      </c>
      <c r="Q135">
        <v>4</v>
      </c>
      <c r="R135">
        <v>5</v>
      </c>
      <c r="S135">
        <v>2</v>
      </c>
      <c r="T135">
        <v>2</v>
      </c>
      <c r="U135" s="1" t="d">
        <v>2019-12-10T19:02:59.99999974854290475</v>
      </c>
      <c r="V135" s="1" t="d">
        <v>2019-12-10T19:36:57.00000003911554950</v>
      </c>
      <c r="W135" t="s">
        <v>421</v>
      </c>
      <c r="X135">
        <v>1</v>
      </c>
      <c r="Y135">
        <v>2</v>
      </c>
      <c r="Z135">
        <v>2</v>
      </c>
      <c r="AA135">
        <v>4</v>
      </c>
      <c r="AB135">
        <v>4</v>
      </c>
      <c r="AC135">
        <v>4</v>
      </c>
      <c r="AD135">
        <v>4</v>
      </c>
      <c r="AE135">
        <v>3</v>
      </c>
      <c r="AF135">
        <v>2</v>
      </c>
      <c r="AG135">
        <v>3</v>
      </c>
      <c r="AH135">
        <v>4</v>
      </c>
      <c r="AI135">
        <v>5</v>
      </c>
      <c r="AJ135">
        <v>2</v>
      </c>
      <c r="AK135">
        <v>3</v>
      </c>
      <c r="AM135" t="str">
        <f t="shared" si="56"/>
        <v>85</v>
      </c>
      <c r="AN135">
        <f t="shared" si="57"/>
        <v>50</v>
      </c>
      <c r="AO135">
        <f t="shared" si="58"/>
        <v>50</v>
      </c>
      <c r="AP135" s="15">
        <f t="shared" si="59"/>
        <v>75</v>
      </c>
      <c r="AQ135" s="15">
        <f t="shared" si="60"/>
        <v>75</v>
      </c>
      <c r="AR135" s="15">
        <f t="shared" si="61"/>
        <v>25</v>
      </c>
      <c r="AS135" s="15">
        <f t="shared" si="62"/>
        <v>25</v>
      </c>
      <c r="AT135">
        <f t="shared" si="63"/>
        <v>50</v>
      </c>
      <c r="AU135" s="15">
        <f t="shared" si="64"/>
        <v>80</v>
      </c>
      <c r="AV135" s="15">
        <f t="shared" si="65"/>
        <v>100</v>
      </c>
      <c r="AW135">
        <f t="shared" si="66"/>
        <v>60</v>
      </c>
      <c r="AX135">
        <f t="shared" si="67"/>
        <v>100</v>
      </c>
      <c r="BB135" s="14">
        <f t="shared" si="68"/>
        <v>46.947453084499998</v>
      </c>
      <c r="BC135" s="14">
        <f t="shared" si="69"/>
        <v>44.9793389445</v>
      </c>
      <c r="BE135" s="14">
        <f t="shared" si="70"/>
        <v>39.629881737000005</v>
      </c>
      <c r="BF135" s="14">
        <f t="shared" si="71"/>
        <v>44.679801165499995</v>
      </c>
      <c r="BH135" t="str">
        <f t="shared" si="72"/>
        <v>100</v>
      </c>
      <c r="BI135">
        <f t="shared" si="73"/>
        <v>50</v>
      </c>
      <c r="BJ135">
        <f t="shared" si="74"/>
        <v>50</v>
      </c>
      <c r="BK135" s="15">
        <f t="shared" si="75"/>
        <v>25</v>
      </c>
      <c r="BL135" s="15">
        <f t="shared" si="76"/>
        <v>25</v>
      </c>
      <c r="BM135" s="15">
        <f t="shared" si="77"/>
        <v>25</v>
      </c>
      <c r="BN135" s="15">
        <f t="shared" si="78"/>
        <v>25</v>
      </c>
      <c r="BO135">
        <f t="shared" si="79"/>
        <v>50</v>
      </c>
      <c r="BP135" s="15">
        <f t="shared" si="80"/>
        <v>80</v>
      </c>
      <c r="BQ135" s="15">
        <f t="shared" si="81"/>
        <v>60</v>
      </c>
      <c r="BR135">
        <f t="shared" si="82"/>
        <v>60</v>
      </c>
      <c r="BS135">
        <f t="shared" si="83"/>
        <v>100</v>
      </c>
    </row>
    <row r="136" spans="1:71" x14ac:dyDescent="0.25">
      <c r="A136">
        <v>135</v>
      </c>
      <c r="B136" t="s">
        <v>422</v>
      </c>
      <c r="C136" t="s">
        <v>111</v>
      </c>
      <c r="D136" s="1" t="d">
        <v>2019-09-10T12:18:37.0000002253800600</v>
      </c>
      <c r="E136" s="1" t="d">
        <v>2019-09-10T13:05:49.00000027846545150</v>
      </c>
      <c r="F136" t="s">
        <v>423</v>
      </c>
      <c r="G136">
        <v>3</v>
      </c>
      <c r="H136">
        <v>2</v>
      </c>
      <c r="I136">
        <v>3</v>
      </c>
      <c r="J136">
        <v>4</v>
      </c>
      <c r="K136">
        <v>4</v>
      </c>
      <c r="L136">
        <v>4</v>
      </c>
      <c r="M136">
        <v>4</v>
      </c>
      <c r="N136">
        <v>4</v>
      </c>
      <c r="O136">
        <v>2</v>
      </c>
      <c r="P136">
        <v>1</v>
      </c>
      <c r="Q136">
        <v>5</v>
      </c>
      <c r="R136">
        <v>3</v>
      </c>
      <c r="S136">
        <v>5</v>
      </c>
      <c r="T136">
        <v>5</v>
      </c>
      <c r="U136" s="1" t="d">
        <v>2019-12-22T19:37:51.00000008940696450</v>
      </c>
      <c r="V136" s="1" t="d">
        <v>2019-12-22T19:59:41.00000016856938450</v>
      </c>
      <c r="W136" t="s">
        <v>424</v>
      </c>
      <c r="X136">
        <v>3</v>
      </c>
      <c r="Y136">
        <v>2</v>
      </c>
      <c r="Z136">
        <v>3</v>
      </c>
      <c r="AA136">
        <v>2</v>
      </c>
      <c r="AB136">
        <v>4</v>
      </c>
      <c r="AC136">
        <v>2</v>
      </c>
      <c r="AD136">
        <v>4</v>
      </c>
      <c r="AE136">
        <v>4</v>
      </c>
      <c r="AF136">
        <v>3</v>
      </c>
      <c r="AG136">
        <v>5</v>
      </c>
      <c r="AH136">
        <v>2</v>
      </c>
      <c r="AI136">
        <v>2</v>
      </c>
      <c r="AJ136">
        <v>5</v>
      </c>
      <c r="AK136">
        <v>5</v>
      </c>
      <c r="AM136" t="str">
        <f t="shared" si="56"/>
        <v>60</v>
      </c>
      <c r="AN136">
        <f t="shared" si="57"/>
        <v>50</v>
      </c>
      <c r="AO136">
        <f t="shared" si="58"/>
        <v>100</v>
      </c>
      <c r="AP136" s="15">
        <f t="shared" si="59"/>
        <v>25</v>
      </c>
      <c r="AQ136" s="15">
        <f t="shared" si="60"/>
        <v>25</v>
      </c>
      <c r="AR136" s="15">
        <f t="shared" si="61"/>
        <v>25</v>
      </c>
      <c r="AS136" s="15">
        <f t="shared" si="62"/>
        <v>25</v>
      </c>
      <c r="AT136">
        <f t="shared" si="63"/>
        <v>25</v>
      </c>
      <c r="AU136" s="15">
        <f t="shared" si="64"/>
        <v>80</v>
      </c>
      <c r="AV136" s="15">
        <f t="shared" si="65"/>
        <v>100</v>
      </c>
      <c r="AW136">
        <f t="shared" si="66"/>
        <v>80</v>
      </c>
      <c r="AX136">
        <f t="shared" si="67"/>
        <v>50</v>
      </c>
      <c r="BB136" s="14">
        <f t="shared" si="68"/>
        <v>36.793247342000001</v>
      </c>
      <c r="BC136" s="14">
        <f t="shared" si="69"/>
        <v>44.082856825500002</v>
      </c>
      <c r="BE136" s="14">
        <f t="shared" si="70"/>
        <v>39.035448056500002</v>
      </c>
      <c r="BF136" s="14">
        <f t="shared" si="71"/>
        <v>29.739076406000002</v>
      </c>
      <c r="BH136" t="str">
        <f t="shared" si="72"/>
        <v>60</v>
      </c>
      <c r="BI136">
        <f t="shared" si="73"/>
        <v>50</v>
      </c>
      <c r="BJ136">
        <f t="shared" si="74"/>
        <v>100</v>
      </c>
      <c r="BK136" s="15">
        <f t="shared" si="75"/>
        <v>75</v>
      </c>
      <c r="BL136" s="15">
        <f t="shared" si="76"/>
        <v>25</v>
      </c>
      <c r="BM136" s="15">
        <f t="shared" si="77"/>
        <v>75</v>
      </c>
      <c r="BN136" s="15">
        <f t="shared" si="78"/>
        <v>25</v>
      </c>
      <c r="BO136">
        <f t="shared" si="79"/>
        <v>25</v>
      </c>
      <c r="BP136" s="15">
        <f t="shared" si="80"/>
        <v>60</v>
      </c>
      <c r="BQ136" s="15">
        <f t="shared" si="81"/>
        <v>20</v>
      </c>
      <c r="BR136">
        <f t="shared" si="82"/>
        <v>20</v>
      </c>
      <c r="BS136">
        <f t="shared" si="83"/>
        <v>25</v>
      </c>
    </row>
    <row r="137" spans="1:71" x14ac:dyDescent="0.25">
      <c r="A137">
        <v>136</v>
      </c>
      <c r="B137" t="s">
        <v>425</v>
      </c>
      <c r="C137" t="s">
        <v>111</v>
      </c>
      <c r="D137" s="1" t="d">
        <v>2019-08-06T13:19:07.999999718740582800</v>
      </c>
      <c r="E137" s="1" t="d">
        <v>2019-08-06T14:26:53.999999687075614800</v>
      </c>
      <c r="F137" t="s">
        <v>426</v>
      </c>
      <c r="G137">
        <v>1</v>
      </c>
      <c r="H137">
        <v>3</v>
      </c>
      <c r="I137">
        <v>3</v>
      </c>
      <c r="J137">
        <v>3</v>
      </c>
      <c r="K137">
        <v>4</v>
      </c>
      <c r="L137">
        <v>4</v>
      </c>
      <c r="M137">
        <v>3</v>
      </c>
      <c r="N137">
        <v>5</v>
      </c>
      <c r="O137">
        <v>2</v>
      </c>
      <c r="P137">
        <v>1</v>
      </c>
      <c r="Q137">
        <v>6</v>
      </c>
      <c r="R137">
        <v>5</v>
      </c>
      <c r="S137">
        <v>1</v>
      </c>
      <c r="T137">
        <v>2</v>
      </c>
      <c r="U137" s="1" t="d">
        <v>2020-01-11T20:51:35.99999974016100225</v>
      </c>
      <c r="V137" s="1" t="d">
        <v>2020-01-11T23:29:46.99999989476055150</v>
      </c>
      <c r="W137" t="s">
        <v>427</v>
      </c>
      <c r="X137">
        <v>2</v>
      </c>
      <c r="Y137">
        <v>1</v>
      </c>
      <c r="Z137">
        <v>2</v>
      </c>
      <c r="AA137">
        <v>4</v>
      </c>
      <c r="AB137">
        <v>4</v>
      </c>
      <c r="AC137">
        <v>4</v>
      </c>
      <c r="AD137">
        <v>2</v>
      </c>
      <c r="AE137">
        <v>4</v>
      </c>
      <c r="AF137">
        <v>1</v>
      </c>
      <c r="AG137">
        <v>2</v>
      </c>
      <c r="AH137">
        <v>4</v>
      </c>
      <c r="AI137">
        <v>4</v>
      </c>
      <c r="AJ137">
        <v>2</v>
      </c>
      <c r="AK137">
        <v>2</v>
      </c>
      <c r="AM137" t="str">
        <f t="shared" si="56"/>
        <v>100</v>
      </c>
      <c r="AN137">
        <f t="shared" si="57"/>
        <v>100</v>
      </c>
      <c r="AO137">
        <f t="shared" si="58"/>
        <v>100</v>
      </c>
      <c r="AP137" s="15">
        <f t="shared" si="59"/>
        <v>50</v>
      </c>
      <c r="AQ137" s="15">
        <f t="shared" si="60"/>
        <v>25</v>
      </c>
      <c r="AR137" s="15">
        <f t="shared" si="61"/>
        <v>25</v>
      </c>
      <c r="AS137" s="15">
        <f t="shared" si="62"/>
        <v>50</v>
      </c>
      <c r="AT137">
        <f t="shared" si="63"/>
        <v>0</v>
      </c>
      <c r="AU137" s="15">
        <f t="shared" si="64"/>
        <v>80</v>
      </c>
      <c r="AV137" s="15">
        <f t="shared" si="65"/>
        <v>100</v>
      </c>
      <c r="AW137">
        <f t="shared" si="66"/>
        <v>100</v>
      </c>
      <c r="AX137">
        <f t="shared" si="67"/>
        <v>100</v>
      </c>
      <c r="BB137" s="14">
        <f t="shared" si="68"/>
        <v>39.976128420999999</v>
      </c>
      <c r="BC137" s="14">
        <f t="shared" si="69"/>
        <v>52.689292823999999</v>
      </c>
      <c r="BE137" s="14">
        <f t="shared" si="70"/>
        <v>29.875975679999996</v>
      </c>
      <c r="BF137" s="14">
        <f t="shared" si="71"/>
        <v>51.983751300999998</v>
      </c>
      <c r="BH137" t="str">
        <f t="shared" si="72"/>
        <v>85</v>
      </c>
      <c r="BI137">
        <f t="shared" si="73"/>
        <v>0</v>
      </c>
      <c r="BJ137">
        <f t="shared" si="74"/>
        <v>50</v>
      </c>
      <c r="BK137" s="15">
        <f t="shared" si="75"/>
        <v>25</v>
      </c>
      <c r="BL137" s="15">
        <f t="shared" si="76"/>
        <v>25</v>
      </c>
      <c r="BM137" s="15">
        <f t="shared" si="77"/>
        <v>25</v>
      </c>
      <c r="BN137" s="15">
        <f t="shared" si="78"/>
        <v>75</v>
      </c>
      <c r="BO137">
        <f t="shared" si="79"/>
        <v>25</v>
      </c>
      <c r="BP137" s="15">
        <f t="shared" si="80"/>
        <v>100</v>
      </c>
      <c r="BQ137" s="15">
        <f t="shared" si="81"/>
        <v>80</v>
      </c>
      <c r="BR137">
        <f t="shared" si="82"/>
        <v>60</v>
      </c>
      <c r="BS137">
        <f t="shared" si="83"/>
        <v>75</v>
      </c>
    </row>
    <row r="138" spans="1:71" x14ac:dyDescent="0.25">
      <c r="A138">
        <v>137</v>
      </c>
      <c r="B138" t="s">
        <v>428</v>
      </c>
      <c r="C138" t="s">
        <v>111</v>
      </c>
      <c r="D138" s="1" t="d">
        <v>2019-09-03T07:49:07.99999992828816150</v>
      </c>
      <c r="E138" s="1" t="d">
        <v>2019-09-03T08:28:11.99999968986958050</v>
      </c>
      <c r="F138" t="s">
        <v>429</v>
      </c>
      <c r="G138">
        <v>2</v>
      </c>
      <c r="H138">
        <v>2</v>
      </c>
      <c r="I138">
        <v>2</v>
      </c>
      <c r="J138">
        <v>3</v>
      </c>
      <c r="K138">
        <v>3</v>
      </c>
      <c r="L138">
        <v>5</v>
      </c>
      <c r="M138">
        <v>4</v>
      </c>
      <c r="N138">
        <v>4</v>
      </c>
      <c r="O138">
        <v>2</v>
      </c>
      <c r="P138">
        <v>1</v>
      </c>
      <c r="Q138">
        <v>5</v>
      </c>
      <c r="R138">
        <v>2</v>
      </c>
      <c r="S138">
        <v>3</v>
      </c>
      <c r="T138">
        <v>2</v>
      </c>
      <c r="U138" s="1" t="d">
        <v>2020-01-14T00:43:21.00000011734664175</v>
      </c>
      <c r="V138" s="1" t="d">
        <v>2020-01-14T01:16:37.00000025331973725</v>
      </c>
      <c r="W138" t="s">
        <v>430</v>
      </c>
      <c r="X138">
        <v>1</v>
      </c>
      <c r="Y138">
        <v>2</v>
      </c>
      <c r="Z138">
        <v>1</v>
      </c>
      <c r="AA138">
        <v>5</v>
      </c>
      <c r="AB138">
        <v>5</v>
      </c>
      <c r="AC138">
        <v>5</v>
      </c>
      <c r="AD138">
        <v>5</v>
      </c>
      <c r="AE138">
        <v>3</v>
      </c>
      <c r="AF138">
        <v>2</v>
      </c>
      <c r="AG138">
        <v>1</v>
      </c>
      <c r="AH138">
        <v>6</v>
      </c>
      <c r="AI138">
        <v>5</v>
      </c>
      <c r="AJ138">
        <v>2</v>
      </c>
      <c r="AK138">
        <v>2</v>
      </c>
      <c r="AM138" t="str">
        <f t="shared" si="56"/>
        <v>85</v>
      </c>
      <c r="AN138">
        <f t="shared" si="57"/>
        <v>50</v>
      </c>
      <c r="AO138">
        <f t="shared" si="58"/>
        <v>50</v>
      </c>
      <c r="AP138" s="15">
        <f t="shared" si="59"/>
        <v>50</v>
      </c>
      <c r="AQ138" s="15">
        <f t="shared" si="60"/>
        <v>50</v>
      </c>
      <c r="AR138" s="15">
        <f t="shared" si="61"/>
        <v>0</v>
      </c>
      <c r="AS138" s="15">
        <f t="shared" si="62"/>
        <v>25</v>
      </c>
      <c r="AT138">
        <f t="shared" si="63"/>
        <v>25</v>
      </c>
      <c r="AU138" s="15">
        <f t="shared" si="64"/>
        <v>80</v>
      </c>
      <c r="AV138" s="15">
        <f t="shared" si="65"/>
        <v>100</v>
      </c>
      <c r="AW138">
        <f t="shared" si="66"/>
        <v>80</v>
      </c>
      <c r="AX138">
        <f t="shared" si="67"/>
        <v>25</v>
      </c>
      <c r="BB138" s="14">
        <f t="shared" si="68"/>
        <v>39.978763846999996</v>
      </c>
      <c r="BC138" s="14">
        <f t="shared" si="69"/>
        <v>38.511684178000003</v>
      </c>
      <c r="BE138" s="14">
        <f t="shared" si="70"/>
        <v>33.552718370999997</v>
      </c>
      <c r="BF138" s="14">
        <f t="shared" si="71"/>
        <v>51.067581173999997</v>
      </c>
      <c r="BH138" t="str">
        <f t="shared" si="72"/>
        <v>100</v>
      </c>
      <c r="BI138">
        <f t="shared" si="73"/>
        <v>50</v>
      </c>
      <c r="BJ138">
        <f t="shared" si="74"/>
        <v>0</v>
      </c>
      <c r="BK138" s="15">
        <f t="shared" si="75"/>
        <v>0</v>
      </c>
      <c r="BL138" s="15">
        <f t="shared" si="76"/>
        <v>0</v>
      </c>
      <c r="BM138" s="15">
        <f t="shared" si="77"/>
        <v>0</v>
      </c>
      <c r="BN138" s="15">
        <f t="shared" si="78"/>
        <v>0</v>
      </c>
      <c r="BO138">
        <f t="shared" si="79"/>
        <v>50</v>
      </c>
      <c r="BP138" s="15">
        <f t="shared" si="80"/>
        <v>80</v>
      </c>
      <c r="BQ138" s="15">
        <f t="shared" si="81"/>
        <v>100</v>
      </c>
      <c r="BR138">
        <f t="shared" si="82"/>
        <v>100</v>
      </c>
      <c r="BS138">
        <f t="shared" si="83"/>
        <v>100</v>
      </c>
    </row>
    <row r="139" spans="1:71" x14ac:dyDescent="0.25">
      <c r="A139">
        <v>138</v>
      </c>
      <c r="B139" t="s">
        <v>431</v>
      </c>
      <c r="C139" t="s">
        <v>111</v>
      </c>
      <c r="D139" s="1" t="d">
        <v>2019-09-07T22:29:01.00000003818422850</v>
      </c>
      <c r="E139" s="1" t="d">
        <v>2019-09-08T20:30:36.0000000335276100</v>
      </c>
      <c r="F139" t="s">
        <v>432</v>
      </c>
      <c r="G139">
        <v>3</v>
      </c>
      <c r="H139">
        <v>2</v>
      </c>
      <c r="I139">
        <v>2</v>
      </c>
      <c r="J139">
        <v>3</v>
      </c>
      <c r="K139">
        <v>3</v>
      </c>
      <c r="L139">
        <v>4</v>
      </c>
      <c r="M139">
        <v>4</v>
      </c>
      <c r="N139">
        <v>3</v>
      </c>
      <c r="O139">
        <v>3</v>
      </c>
      <c r="P139">
        <v>2</v>
      </c>
      <c r="Q139">
        <v>3</v>
      </c>
      <c r="R139">
        <v>3</v>
      </c>
      <c r="S139">
        <v>2</v>
      </c>
      <c r="T139">
        <v>2</v>
      </c>
      <c r="U139" s="1" t="d">
        <v>2020-01-30T12:56:21.0000001452863216325</v>
      </c>
      <c r="V139" s="1" t="d">
        <v>2020-01-30T13:41:45.999999702908098800</v>
      </c>
      <c r="W139" t="s">
        <v>433</v>
      </c>
      <c r="X139">
        <v>3</v>
      </c>
      <c r="Y139">
        <v>2</v>
      </c>
      <c r="Z139">
        <v>2</v>
      </c>
      <c r="AA139">
        <v>3</v>
      </c>
      <c r="AB139">
        <v>3</v>
      </c>
      <c r="AC139">
        <v>2</v>
      </c>
      <c r="AD139">
        <v>2</v>
      </c>
      <c r="AE139">
        <v>2</v>
      </c>
      <c r="AF139">
        <v>3</v>
      </c>
      <c r="AG139">
        <v>3</v>
      </c>
      <c r="AH139">
        <v>3</v>
      </c>
      <c r="AI139">
        <v>3</v>
      </c>
      <c r="AJ139">
        <v>4</v>
      </c>
      <c r="AK139">
        <v>3</v>
      </c>
      <c r="AM139" t="str">
        <f t="shared" si="56"/>
        <v>60</v>
      </c>
      <c r="AN139">
        <f t="shared" si="57"/>
        <v>50</v>
      </c>
      <c r="AO139">
        <f t="shared" si="58"/>
        <v>50</v>
      </c>
      <c r="AP139" s="15">
        <f t="shared" si="59"/>
        <v>50</v>
      </c>
      <c r="AQ139" s="15">
        <f t="shared" si="60"/>
        <v>50</v>
      </c>
      <c r="AR139" s="15">
        <f t="shared" si="61"/>
        <v>25</v>
      </c>
      <c r="AS139" s="15">
        <f t="shared" si="62"/>
        <v>25</v>
      </c>
      <c r="AT139">
        <f t="shared" si="63"/>
        <v>50</v>
      </c>
      <c r="AU139" s="15">
        <f t="shared" si="64"/>
        <v>60</v>
      </c>
      <c r="AV139" s="15">
        <f t="shared" si="65"/>
        <v>80</v>
      </c>
      <c r="AW139">
        <f t="shared" si="66"/>
        <v>40</v>
      </c>
      <c r="AX139">
        <f t="shared" si="67"/>
        <v>50</v>
      </c>
      <c r="BB139" s="14">
        <f t="shared" si="68"/>
        <v>42.430466585000005</v>
      </c>
      <c r="BC139" s="14">
        <f t="shared" si="69"/>
        <v>34.254917910499998</v>
      </c>
      <c r="BE139" s="14">
        <f t="shared" si="70"/>
        <v>40.687099887999999</v>
      </c>
      <c r="BF139" s="14">
        <f t="shared" si="71"/>
        <v>42.635013638499998</v>
      </c>
      <c r="BH139" t="str">
        <f t="shared" si="72"/>
        <v>60</v>
      </c>
      <c r="BI139">
        <f t="shared" si="73"/>
        <v>50</v>
      </c>
      <c r="BJ139">
        <f t="shared" si="74"/>
        <v>50</v>
      </c>
      <c r="BK139" s="15">
        <f t="shared" si="75"/>
        <v>50</v>
      </c>
      <c r="BL139" s="15">
        <f t="shared" si="76"/>
        <v>50</v>
      </c>
      <c r="BM139" s="15">
        <f t="shared" si="77"/>
        <v>75</v>
      </c>
      <c r="BN139" s="15">
        <f t="shared" si="78"/>
        <v>75</v>
      </c>
      <c r="BO139">
        <f t="shared" si="79"/>
        <v>75</v>
      </c>
      <c r="BP139" s="15">
        <f t="shared" si="80"/>
        <v>60</v>
      </c>
      <c r="BQ139" s="15">
        <f t="shared" si="81"/>
        <v>60</v>
      </c>
      <c r="BR139">
        <f t="shared" si="82"/>
        <v>40</v>
      </c>
      <c r="BS139">
        <f t="shared" si="83"/>
        <v>50</v>
      </c>
    </row>
    <row r="140" spans="1:71" x14ac:dyDescent="0.25">
      <c r="A140">
        <v>139</v>
      </c>
      <c r="B140" t="s">
        <v>434</v>
      </c>
      <c r="C140" t="s">
        <v>111</v>
      </c>
      <c r="D140" s="1" t="d">
        <v>2019-09-12T01:17:31.00000030361115900</v>
      </c>
      <c r="E140" s="1" t="d">
        <v>2019-09-12T01:46:57.99999971408396700</v>
      </c>
      <c r="F140" t="s">
        <v>435</v>
      </c>
      <c r="G140">
        <v>3</v>
      </c>
      <c r="H140">
        <v>1</v>
      </c>
      <c r="I140">
        <v>1</v>
      </c>
      <c r="J140">
        <v>1</v>
      </c>
      <c r="K140">
        <v>1</v>
      </c>
      <c r="L140">
        <v>4</v>
      </c>
      <c r="M140">
        <v>4</v>
      </c>
      <c r="N140">
        <v>3</v>
      </c>
      <c r="O140">
        <v>3</v>
      </c>
      <c r="P140">
        <v>2</v>
      </c>
      <c r="Q140">
        <v>3</v>
      </c>
      <c r="R140">
        <v>4</v>
      </c>
      <c r="S140">
        <v>4</v>
      </c>
      <c r="T140">
        <v>3</v>
      </c>
      <c r="U140" s="1" t="d">
        <v>2020-01-22T06:53:23.00000002607703525</v>
      </c>
      <c r="V140" s="1" t="d">
        <v>2020-01-22T07:25:10.00000010244548550</v>
      </c>
      <c r="W140" t="s">
        <v>436</v>
      </c>
      <c r="X140">
        <v>2</v>
      </c>
      <c r="Y140">
        <v>1</v>
      </c>
      <c r="Z140">
        <v>2</v>
      </c>
      <c r="AA140">
        <v>4</v>
      </c>
      <c r="AB140">
        <v>2</v>
      </c>
      <c r="AC140">
        <v>3</v>
      </c>
      <c r="AD140">
        <v>2</v>
      </c>
      <c r="AE140">
        <v>4</v>
      </c>
      <c r="AF140">
        <v>3</v>
      </c>
      <c r="AG140">
        <v>1</v>
      </c>
      <c r="AH140">
        <v>3</v>
      </c>
      <c r="AI140">
        <v>4</v>
      </c>
      <c r="AJ140">
        <v>2</v>
      </c>
      <c r="AK140">
        <v>3</v>
      </c>
      <c r="AM140" t="str">
        <f t="shared" si="56"/>
        <v>60</v>
      </c>
      <c r="AN140">
        <f t="shared" si="57"/>
        <v>0</v>
      </c>
      <c r="AO140">
        <f t="shared" si="58"/>
        <v>0</v>
      </c>
      <c r="AP140" s="15">
        <f t="shared" si="59"/>
        <v>100</v>
      </c>
      <c r="AQ140" s="15">
        <f t="shared" si="60"/>
        <v>100</v>
      </c>
      <c r="AR140" s="15">
        <f t="shared" si="61"/>
        <v>25</v>
      </c>
      <c r="AS140" s="15">
        <f t="shared" si="62"/>
        <v>25</v>
      </c>
      <c r="AT140">
        <f t="shared" si="63"/>
        <v>50</v>
      </c>
      <c r="AU140" s="15">
        <f t="shared" si="64"/>
        <v>60</v>
      </c>
      <c r="AV140" s="15">
        <f t="shared" si="65"/>
        <v>80</v>
      </c>
      <c r="AW140">
        <f t="shared" si="66"/>
        <v>40</v>
      </c>
      <c r="AX140">
        <f t="shared" si="67"/>
        <v>75</v>
      </c>
      <c r="BB140" s="14">
        <f t="shared" si="68"/>
        <v>42.843299627500002</v>
      </c>
      <c r="BC140" s="14">
        <f t="shared" si="69"/>
        <v>37.831756877999993</v>
      </c>
      <c r="BE140" s="14">
        <f t="shared" si="70"/>
        <v>35.506827817000001</v>
      </c>
      <c r="BF140" s="14">
        <f t="shared" si="71"/>
        <v>47.942917129999991</v>
      </c>
      <c r="BH140" t="str">
        <f t="shared" si="72"/>
        <v>85</v>
      </c>
      <c r="BI140">
        <f t="shared" si="73"/>
        <v>0</v>
      </c>
      <c r="BJ140">
        <f t="shared" si="74"/>
        <v>50</v>
      </c>
      <c r="BK140" s="15">
        <f t="shared" si="75"/>
        <v>25</v>
      </c>
      <c r="BL140" s="15">
        <f t="shared" si="76"/>
        <v>75</v>
      </c>
      <c r="BM140" s="15">
        <f t="shared" si="77"/>
        <v>50</v>
      </c>
      <c r="BN140" s="15">
        <f t="shared" si="78"/>
        <v>75</v>
      </c>
      <c r="BO140">
        <f t="shared" si="79"/>
        <v>25</v>
      </c>
      <c r="BP140" s="15">
        <f t="shared" si="80"/>
        <v>60</v>
      </c>
      <c r="BQ140" s="15">
        <f t="shared" si="81"/>
        <v>100</v>
      </c>
      <c r="BR140">
        <f t="shared" si="82"/>
        <v>40</v>
      </c>
      <c r="BS140">
        <f t="shared" si="83"/>
        <v>75</v>
      </c>
    </row>
    <row r="141" spans="1:71" x14ac:dyDescent="0.25">
      <c r="A141">
        <v>140</v>
      </c>
      <c r="B141" t="s">
        <v>437</v>
      </c>
      <c r="C141" t="s">
        <v>111</v>
      </c>
      <c r="D141" s="1" t="d">
        <v>2019-09-23T08:11:04.99999975785612825</v>
      </c>
      <c r="E141" s="1" t="d">
        <v>2019-10-14T19:22:58.00000004936009400</v>
      </c>
      <c r="F141" t="s">
        <v>438</v>
      </c>
      <c r="G141">
        <v>2</v>
      </c>
      <c r="H141">
        <v>3</v>
      </c>
      <c r="I141">
        <v>3</v>
      </c>
      <c r="J141">
        <v>4</v>
      </c>
      <c r="K141">
        <v>4</v>
      </c>
      <c r="L141">
        <v>3</v>
      </c>
      <c r="M141">
        <v>3</v>
      </c>
      <c r="N141">
        <v>3</v>
      </c>
      <c r="O141">
        <v>3</v>
      </c>
      <c r="P141">
        <v>3</v>
      </c>
      <c r="Q141">
        <v>4</v>
      </c>
      <c r="R141">
        <v>4</v>
      </c>
      <c r="S141">
        <v>2</v>
      </c>
      <c r="T141">
        <v>3</v>
      </c>
      <c r="U141" s="1" t="d">
        <v>2020-02-19T13:40:16.00000003818422850</v>
      </c>
      <c r="V141" s="1" t="d">
        <v>2020-02-23T20:28:41.99999978765845425</v>
      </c>
      <c r="W141" t="s">
        <v>439</v>
      </c>
      <c r="X141">
        <v>2</v>
      </c>
      <c r="Y141">
        <v>2</v>
      </c>
      <c r="Z141">
        <v>2</v>
      </c>
      <c r="AA141">
        <v>3</v>
      </c>
      <c r="AB141">
        <v>4</v>
      </c>
      <c r="AC141">
        <v>3</v>
      </c>
      <c r="AD141">
        <v>3</v>
      </c>
      <c r="AE141">
        <v>5</v>
      </c>
      <c r="AF141">
        <v>2</v>
      </c>
      <c r="AG141">
        <v>2</v>
      </c>
      <c r="AH141">
        <v>4</v>
      </c>
      <c r="AI141">
        <v>3</v>
      </c>
      <c r="AJ141">
        <v>2</v>
      </c>
      <c r="AK141">
        <v>3</v>
      </c>
      <c r="AM141" t="str">
        <f t="shared" si="56"/>
        <v>85</v>
      </c>
      <c r="AN141">
        <f t="shared" si="57"/>
        <v>100</v>
      </c>
      <c r="AO141">
        <f t="shared" si="58"/>
        <v>100</v>
      </c>
      <c r="AP141" s="15">
        <f t="shared" si="59"/>
        <v>25</v>
      </c>
      <c r="AQ141" s="15">
        <f t="shared" si="60"/>
        <v>25</v>
      </c>
      <c r="AR141" s="15">
        <f t="shared" si="61"/>
        <v>50</v>
      </c>
      <c r="AS141" s="15">
        <f t="shared" si="62"/>
        <v>50</v>
      </c>
      <c r="AT141">
        <f t="shared" si="63"/>
        <v>50</v>
      </c>
      <c r="AU141" s="15">
        <f t="shared" si="64"/>
        <v>60</v>
      </c>
      <c r="AV141" s="15">
        <f t="shared" si="65"/>
        <v>60</v>
      </c>
      <c r="AW141">
        <f t="shared" si="66"/>
        <v>60</v>
      </c>
      <c r="AX141">
        <f t="shared" si="67"/>
        <v>75</v>
      </c>
      <c r="BB141" s="14">
        <f t="shared" si="68"/>
        <v>43.937418737999991</v>
      </c>
      <c r="BC141" s="14">
        <f t="shared" si="69"/>
        <v>41.626206044499995</v>
      </c>
      <c r="BE141" s="14">
        <f t="shared" si="70"/>
        <v>31.6720116475</v>
      </c>
      <c r="BF141" s="14">
        <f t="shared" si="71"/>
        <v>46.431603235000004</v>
      </c>
      <c r="BH141" t="str">
        <f t="shared" si="72"/>
        <v>85</v>
      </c>
      <c r="BI141">
        <f t="shared" si="73"/>
        <v>50</v>
      </c>
      <c r="BJ141">
        <f t="shared" si="74"/>
        <v>50</v>
      </c>
      <c r="BK141" s="15">
        <f t="shared" si="75"/>
        <v>50</v>
      </c>
      <c r="BL141" s="15">
        <f t="shared" si="76"/>
        <v>25</v>
      </c>
      <c r="BM141" s="15">
        <f t="shared" si="77"/>
        <v>50</v>
      </c>
      <c r="BN141" s="15">
        <f t="shared" si="78"/>
        <v>50</v>
      </c>
      <c r="BO141">
        <f t="shared" si="79"/>
        <v>0</v>
      </c>
      <c r="BP141" s="15">
        <f t="shared" si="80"/>
        <v>80</v>
      </c>
      <c r="BQ141" s="15">
        <f t="shared" si="81"/>
        <v>80</v>
      </c>
      <c r="BR141">
        <f t="shared" si="82"/>
        <v>60</v>
      </c>
      <c r="BS141">
        <f t="shared" si="83"/>
        <v>50</v>
      </c>
    </row>
    <row r="142" spans="1:71" x14ac:dyDescent="0.25">
      <c r="A142">
        <v>141</v>
      </c>
      <c r="B142" t="s">
        <v>440</v>
      </c>
      <c r="C142" t="s">
        <v>111</v>
      </c>
      <c r="D142" s="1" t="d">
        <v>2019-09-19T19:13:40.99999997299164375</v>
      </c>
      <c r="E142" s="1" t="d">
        <v>2019-09-19T19:47:41.99999994132667575</v>
      </c>
      <c r="F142" t="s">
        <v>441</v>
      </c>
      <c r="G142">
        <v>1</v>
      </c>
      <c r="H142">
        <v>3</v>
      </c>
      <c r="I142">
        <v>3</v>
      </c>
      <c r="J142">
        <v>3</v>
      </c>
      <c r="K142">
        <v>3</v>
      </c>
      <c r="L142">
        <v>3</v>
      </c>
      <c r="M142">
        <v>3</v>
      </c>
      <c r="N142">
        <v>5</v>
      </c>
      <c r="O142">
        <v>3</v>
      </c>
      <c r="P142">
        <v>1</v>
      </c>
      <c r="Q142">
        <v>4</v>
      </c>
      <c r="R142">
        <v>5</v>
      </c>
      <c r="S142">
        <v>3</v>
      </c>
      <c r="T142">
        <v>3</v>
      </c>
      <c r="AM142" t="str">
        <f t="shared" si="56"/>
        <v>100</v>
      </c>
      <c r="AN142">
        <f t="shared" si="57"/>
        <v>100</v>
      </c>
      <c r="AO142">
        <f t="shared" si="58"/>
        <v>100</v>
      </c>
      <c r="AP142" s="15">
        <f t="shared" si="59"/>
        <v>50</v>
      </c>
      <c r="AQ142" s="15">
        <f t="shared" si="60"/>
        <v>50</v>
      </c>
      <c r="AR142" s="15">
        <f t="shared" si="61"/>
        <v>50</v>
      </c>
      <c r="AS142" s="15">
        <f t="shared" si="62"/>
        <v>50</v>
      </c>
      <c r="AT142">
        <f t="shared" si="63"/>
        <v>0</v>
      </c>
      <c r="AU142" s="15">
        <f t="shared" si="64"/>
        <v>60</v>
      </c>
      <c r="AV142" s="15">
        <f t="shared" si="65"/>
        <v>100</v>
      </c>
      <c r="AW142">
        <f t="shared" si="66"/>
        <v>60</v>
      </c>
      <c r="AX142">
        <f t="shared" si="67"/>
        <v>100</v>
      </c>
      <c r="BB142" s="14">
        <f t="shared" si="68"/>
        <v>43.372758550999997</v>
      </c>
      <c r="BC142" s="14">
        <f t="shared" si="69"/>
        <v>47.076813740999995</v>
      </c>
      <c r="BK142" s="15"/>
      <c r="BL142" s="15"/>
      <c r="BM142" s="15"/>
      <c r="BN142" s="15"/>
      <c r="BP142" s="15"/>
      <c r="BQ142" s="15"/>
    </row>
    <row r="143" spans="1:71" x14ac:dyDescent="0.25">
      <c r="A143">
        <v>142</v>
      </c>
      <c r="B143" t="s">
        <v>442</v>
      </c>
      <c r="C143" t="s">
        <v>111</v>
      </c>
      <c r="D143" s="1" t="d">
        <v>2019-09-25T20:23:32.00000024400651375</v>
      </c>
      <c r="E143" s="1" t="d">
        <v>2019-09-25T21:06:31.00000024773180450</v>
      </c>
      <c r="F143" t="s">
        <v>443</v>
      </c>
      <c r="G143">
        <v>3</v>
      </c>
      <c r="H143">
        <v>1</v>
      </c>
      <c r="I143">
        <v>1</v>
      </c>
      <c r="J143">
        <v>2</v>
      </c>
      <c r="K143">
        <v>1</v>
      </c>
      <c r="L143">
        <v>4</v>
      </c>
      <c r="M143">
        <v>3</v>
      </c>
      <c r="N143">
        <v>1</v>
      </c>
      <c r="O143">
        <v>4</v>
      </c>
      <c r="P143">
        <v>1</v>
      </c>
      <c r="Q143">
        <v>2</v>
      </c>
      <c r="R143">
        <v>3</v>
      </c>
      <c r="S143">
        <v>3</v>
      </c>
      <c r="T143">
        <v>4</v>
      </c>
      <c r="U143" s="1" t="d">
        <v>2020-02-05T19:57:51.00000022910535075</v>
      </c>
      <c r="V143" s="1" t="d">
        <v>2020-02-12T18:58:52.00000023934990200</v>
      </c>
      <c r="W143" t="s">
        <v>444</v>
      </c>
      <c r="X143">
        <v>3</v>
      </c>
      <c r="Y143">
        <v>1</v>
      </c>
      <c r="Z143">
        <v>1</v>
      </c>
      <c r="AA143">
        <v>2</v>
      </c>
      <c r="AB143">
        <v>2</v>
      </c>
      <c r="AC143">
        <v>3</v>
      </c>
      <c r="AD143">
        <v>3</v>
      </c>
      <c r="AE143">
        <v>3</v>
      </c>
      <c r="AF143">
        <v>2</v>
      </c>
      <c r="AG143">
        <v>1</v>
      </c>
      <c r="AH143">
        <v>5</v>
      </c>
      <c r="AI143">
        <v>4</v>
      </c>
      <c r="AJ143">
        <v>3</v>
      </c>
      <c r="AK143">
        <v>2</v>
      </c>
      <c r="AM143" t="str">
        <f t="shared" si="56"/>
        <v>60</v>
      </c>
      <c r="AN143">
        <f t="shared" si="57"/>
        <v>0</v>
      </c>
      <c r="AO143">
        <f t="shared" si="58"/>
        <v>0</v>
      </c>
      <c r="AP143" s="15">
        <f t="shared" si="59"/>
        <v>75</v>
      </c>
      <c r="AQ143" s="15">
        <f t="shared" si="60"/>
        <v>100</v>
      </c>
      <c r="AR143" s="15">
        <f t="shared" si="61"/>
        <v>25</v>
      </c>
      <c r="AS143" s="15">
        <f t="shared" si="62"/>
        <v>50</v>
      </c>
      <c r="AT143">
        <f t="shared" si="63"/>
        <v>100</v>
      </c>
      <c r="AU143" s="15">
        <f t="shared" si="64"/>
        <v>40</v>
      </c>
      <c r="AV143" s="15">
        <f t="shared" si="65"/>
        <v>100</v>
      </c>
      <c r="AW143">
        <f t="shared" si="66"/>
        <v>20</v>
      </c>
      <c r="AX143">
        <f t="shared" si="67"/>
        <v>50</v>
      </c>
      <c r="BB143" s="14">
        <f t="shared" si="68"/>
        <v>49.342498366999997</v>
      </c>
      <c r="BC143" s="14">
        <f t="shared" si="69"/>
        <v>32.762793612999999</v>
      </c>
      <c r="BE143" s="14">
        <f t="shared" si="70"/>
        <v>34.566966284499998</v>
      </c>
      <c r="BF143" s="14">
        <f t="shared" si="71"/>
        <v>53.818229845499992</v>
      </c>
      <c r="BH143" t="str">
        <f t="shared" si="72"/>
        <v>60</v>
      </c>
      <c r="BI143">
        <f t="shared" si="73"/>
        <v>0</v>
      </c>
      <c r="BJ143">
        <f t="shared" si="74"/>
        <v>0</v>
      </c>
      <c r="BK143" s="15">
        <f t="shared" si="75"/>
        <v>75</v>
      </c>
      <c r="BL143" s="15">
        <f t="shared" si="76"/>
        <v>75</v>
      </c>
      <c r="BM143" s="15">
        <f t="shared" si="77"/>
        <v>50</v>
      </c>
      <c r="BN143" s="15">
        <f t="shared" si="78"/>
        <v>50</v>
      </c>
      <c r="BO143">
        <f t="shared" si="79"/>
        <v>50</v>
      </c>
      <c r="BP143" s="15">
        <f t="shared" si="80"/>
        <v>80</v>
      </c>
      <c r="BQ143" s="15">
        <f t="shared" si="81"/>
        <v>100</v>
      </c>
      <c r="BR143">
        <f t="shared" si="82"/>
        <v>80</v>
      </c>
      <c r="BS143">
        <f t="shared" si="83"/>
        <v>75</v>
      </c>
    </row>
    <row r="144" spans="1:71" x14ac:dyDescent="0.25">
      <c r="A144">
        <v>143</v>
      </c>
      <c r="B144" t="s">
        <v>445</v>
      </c>
      <c r="C144" t="s">
        <v>111</v>
      </c>
      <c r="D144" s="1" t="d">
        <v>2019-09-25T13:34:27.00000017881393575</v>
      </c>
      <c r="E144" s="1" t="d">
        <v>2019-09-25T14:01:50.00000014901160975</v>
      </c>
      <c r="F144" t="s">
        <v>446</v>
      </c>
      <c r="G144">
        <v>4</v>
      </c>
      <c r="H144">
        <v>1</v>
      </c>
      <c r="I144">
        <v>1</v>
      </c>
      <c r="J144">
        <v>4</v>
      </c>
      <c r="K144">
        <v>1</v>
      </c>
      <c r="L144">
        <v>4</v>
      </c>
      <c r="M144">
        <v>4</v>
      </c>
      <c r="N144">
        <v>2</v>
      </c>
      <c r="O144">
        <v>3</v>
      </c>
      <c r="P144">
        <v>3</v>
      </c>
      <c r="Q144">
        <v>5</v>
      </c>
      <c r="R144">
        <v>3</v>
      </c>
      <c r="S144">
        <v>4</v>
      </c>
      <c r="T144">
        <v>2</v>
      </c>
      <c r="U144" s="1" t="d">
        <v>2020-02-13T21:59:11.99999988544732125</v>
      </c>
      <c r="V144" s="1" t="d">
        <v>2020-02-13T22:24:14.00000021327286675</v>
      </c>
      <c r="W144" t="s">
        <v>447</v>
      </c>
      <c r="X144">
        <v>3</v>
      </c>
      <c r="Y144">
        <v>2</v>
      </c>
      <c r="Z144">
        <v>2</v>
      </c>
      <c r="AA144">
        <v>3</v>
      </c>
      <c r="AB144">
        <v>5</v>
      </c>
      <c r="AC144">
        <v>3</v>
      </c>
      <c r="AD144">
        <v>3</v>
      </c>
      <c r="AE144">
        <v>3</v>
      </c>
      <c r="AF144">
        <v>3</v>
      </c>
      <c r="AG144">
        <v>3</v>
      </c>
      <c r="AH144">
        <v>3</v>
      </c>
      <c r="AI144">
        <v>3</v>
      </c>
      <c r="AJ144">
        <v>2</v>
      </c>
      <c r="AK144">
        <v>3</v>
      </c>
      <c r="AM144" t="str">
        <f t="shared" si="56"/>
        <v>35</v>
      </c>
      <c r="AN144">
        <f t="shared" si="57"/>
        <v>0</v>
      </c>
      <c r="AO144">
        <f t="shared" si="58"/>
        <v>0</v>
      </c>
      <c r="AP144" s="15">
        <f t="shared" si="59"/>
        <v>25</v>
      </c>
      <c r="AQ144" s="15">
        <f t="shared" si="60"/>
        <v>100</v>
      </c>
      <c r="AR144" s="15">
        <f t="shared" si="61"/>
        <v>25</v>
      </c>
      <c r="AS144" s="15">
        <f t="shared" si="62"/>
        <v>25</v>
      </c>
      <c r="AT144">
        <f t="shared" si="63"/>
        <v>75</v>
      </c>
      <c r="AU144" s="15">
        <f t="shared" si="64"/>
        <v>60</v>
      </c>
      <c r="AV144" s="15">
        <f t="shared" si="65"/>
        <v>60</v>
      </c>
      <c r="AW144">
        <f t="shared" si="66"/>
        <v>80</v>
      </c>
      <c r="AX144">
        <f t="shared" si="67"/>
        <v>50</v>
      </c>
      <c r="BB144" s="14">
        <f t="shared" si="68"/>
        <v>36.009908505499993</v>
      </c>
      <c r="BC144" s="14">
        <f t="shared" si="69"/>
        <v>41.005660490499999</v>
      </c>
      <c r="BE144" s="14">
        <f t="shared" si="70"/>
        <v>35.876700313000001</v>
      </c>
      <c r="BF144" s="14">
        <f t="shared" si="71"/>
        <v>39.287947985999999</v>
      </c>
      <c r="BH144" t="str">
        <f t="shared" si="72"/>
        <v>60</v>
      </c>
      <c r="BI144">
        <f t="shared" si="73"/>
        <v>50</v>
      </c>
      <c r="BJ144">
        <f t="shared" si="74"/>
        <v>50</v>
      </c>
      <c r="BK144" s="15">
        <f t="shared" si="75"/>
        <v>50</v>
      </c>
      <c r="BL144" s="15">
        <f t="shared" si="76"/>
        <v>0</v>
      </c>
      <c r="BM144" s="15">
        <f t="shared" si="77"/>
        <v>50</v>
      </c>
      <c r="BN144" s="15">
        <f t="shared" si="78"/>
        <v>50</v>
      </c>
      <c r="BO144">
        <f t="shared" si="79"/>
        <v>50</v>
      </c>
      <c r="BP144" s="15">
        <f t="shared" si="80"/>
        <v>60</v>
      </c>
      <c r="BQ144" s="15">
        <f t="shared" si="81"/>
        <v>60</v>
      </c>
      <c r="BR144">
        <f t="shared" si="82"/>
        <v>40</v>
      </c>
      <c r="BS144">
        <f t="shared" si="83"/>
        <v>50</v>
      </c>
    </row>
    <row r="145" spans="1:71" x14ac:dyDescent="0.25">
      <c r="A145">
        <v>144</v>
      </c>
      <c r="B145" t="s">
        <v>448</v>
      </c>
      <c r="C145" t="s">
        <v>111</v>
      </c>
      <c r="D145" s="1" t="d">
        <v>2019-09-30T11:11:55.00000013038516275</v>
      </c>
      <c r="E145" s="1" t="d">
        <v>2019-09-30T11:59:15.00000016763806350</v>
      </c>
      <c r="F145" t="s">
        <v>449</v>
      </c>
      <c r="G145">
        <v>2</v>
      </c>
      <c r="H145">
        <v>1</v>
      </c>
      <c r="I145">
        <v>2</v>
      </c>
      <c r="J145">
        <v>4</v>
      </c>
      <c r="K145">
        <v>3</v>
      </c>
      <c r="L145">
        <v>4</v>
      </c>
      <c r="M145">
        <v>2</v>
      </c>
      <c r="N145">
        <v>2</v>
      </c>
      <c r="O145">
        <v>1</v>
      </c>
      <c r="P145">
        <v>2</v>
      </c>
      <c r="Q145">
        <v>5</v>
      </c>
      <c r="R145">
        <v>4</v>
      </c>
      <c r="S145">
        <v>1</v>
      </c>
      <c r="T145">
        <v>1</v>
      </c>
      <c r="U145" s="1" t="d">
        <v>2020-02-20T11:03:24.00000012014061150</v>
      </c>
      <c r="V145" s="1" t="d">
        <v>2020-02-20T11:42:43.9999998500570625</v>
      </c>
      <c r="W145" t="s">
        <v>450</v>
      </c>
      <c r="X145">
        <v>2</v>
      </c>
      <c r="Y145">
        <v>1</v>
      </c>
      <c r="Z145">
        <v>1</v>
      </c>
      <c r="AA145">
        <v>1</v>
      </c>
      <c r="AB145">
        <v>1</v>
      </c>
      <c r="AC145">
        <v>4</v>
      </c>
      <c r="AD145">
        <v>1</v>
      </c>
      <c r="AE145">
        <v>1</v>
      </c>
      <c r="AF145">
        <v>1</v>
      </c>
      <c r="AG145">
        <v>2</v>
      </c>
      <c r="AH145">
        <v>5</v>
      </c>
      <c r="AI145">
        <v>5</v>
      </c>
      <c r="AJ145">
        <v>2</v>
      </c>
      <c r="AK145">
        <v>1</v>
      </c>
      <c r="AM145" t="str">
        <f t="shared" si="56"/>
        <v>85</v>
      </c>
      <c r="AN145">
        <f t="shared" si="57"/>
        <v>0</v>
      </c>
      <c r="AO145">
        <f t="shared" si="58"/>
        <v>50</v>
      </c>
      <c r="AP145" s="15">
        <f t="shared" si="59"/>
        <v>25</v>
      </c>
      <c r="AQ145" s="15">
        <f t="shared" si="60"/>
        <v>50</v>
      </c>
      <c r="AR145" s="15">
        <f t="shared" si="61"/>
        <v>25</v>
      </c>
      <c r="AS145" s="15">
        <f t="shared" si="62"/>
        <v>75</v>
      </c>
      <c r="AT145">
        <f t="shared" si="63"/>
        <v>75</v>
      </c>
      <c r="AU145" s="15">
        <f t="shared" si="64"/>
        <v>100</v>
      </c>
      <c r="AV145" s="15">
        <f t="shared" si="65"/>
        <v>80</v>
      </c>
      <c r="AW145">
        <f t="shared" si="66"/>
        <v>80</v>
      </c>
      <c r="AX145">
        <f t="shared" si="67"/>
        <v>75</v>
      </c>
      <c r="BB145" s="14">
        <f t="shared" si="68"/>
        <v>37.361326654999999</v>
      </c>
      <c r="BC145" s="14">
        <f t="shared" si="69"/>
        <v>53.136454966999992</v>
      </c>
      <c r="BE145" s="14">
        <f t="shared" si="70"/>
        <v>45.362455347500003</v>
      </c>
      <c r="BF145" s="14">
        <f t="shared" si="71"/>
        <v>55.721548631999994</v>
      </c>
      <c r="BH145" t="str">
        <f t="shared" si="72"/>
        <v>85</v>
      </c>
      <c r="BI145">
        <f t="shared" si="73"/>
        <v>0</v>
      </c>
      <c r="BJ145">
        <f t="shared" si="74"/>
        <v>0</v>
      </c>
      <c r="BK145" s="15">
        <f t="shared" si="75"/>
        <v>100</v>
      </c>
      <c r="BL145" s="15">
        <f t="shared" si="76"/>
        <v>100</v>
      </c>
      <c r="BM145" s="15">
        <f t="shared" si="77"/>
        <v>25</v>
      </c>
      <c r="BN145" s="15">
        <f t="shared" si="78"/>
        <v>100</v>
      </c>
      <c r="BO145">
        <f t="shared" si="79"/>
        <v>100</v>
      </c>
      <c r="BP145" s="15">
        <f t="shared" si="80"/>
        <v>100</v>
      </c>
      <c r="BQ145" s="15">
        <f t="shared" si="81"/>
        <v>80</v>
      </c>
      <c r="BR145">
        <f t="shared" si="82"/>
        <v>80</v>
      </c>
      <c r="BS145">
        <f t="shared" si="83"/>
        <v>100</v>
      </c>
    </row>
    <row r="146" spans="1:71" x14ac:dyDescent="0.25">
      <c r="A146">
        <v>145</v>
      </c>
      <c r="B146" t="s">
        <v>451</v>
      </c>
      <c r="C146" t="s">
        <v>111</v>
      </c>
      <c r="D146" s="1" t="d">
        <v>2019-09-28T06:48:47.99999986309558350</v>
      </c>
      <c r="E146" s="1" t="d">
        <v>2019-09-28T07:30:28.999999864026903825</v>
      </c>
      <c r="F146" t="s">
        <v>452</v>
      </c>
      <c r="G146">
        <v>2</v>
      </c>
      <c r="H146">
        <v>1</v>
      </c>
      <c r="I146">
        <v>1</v>
      </c>
      <c r="J146">
        <v>1</v>
      </c>
      <c r="K146">
        <v>1</v>
      </c>
      <c r="L146">
        <v>5</v>
      </c>
      <c r="M146">
        <v>5</v>
      </c>
      <c r="N146">
        <v>1</v>
      </c>
      <c r="O146">
        <v>1</v>
      </c>
      <c r="P146">
        <v>1</v>
      </c>
      <c r="Q146">
        <v>3</v>
      </c>
      <c r="R146">
        <v>3</v>
      </c>
      <c r="S146">
        <v>3</v>
      </c>
      <c r="T146">
        <v>2</v>
      </c>
      <c r="U146" s="1" t="d">
        <v>2020-03-05T06:50:40.99999987520277675</v>
      </c>
      <c r="V146" s="1" t="d">
        <v>2020-03-05T07:44:48.00000012852251400</v>
      </c>
      <c r="W146" t="s">
        <v>453</v>
      </c>
      <c r="X146">
        <v>2</v>
      </c>
      <c r="Y146">
        <v>1</v>
      </c>
      <c r="Z146">
        <v>1</v>
      </c>
      <c r="AA146">
        <v>1</v>
      </c>
      <c r="AB146">
        <v>1</v>
      </c>
      <c r="AC146">
        <v>5</v>
      </c>
      <c r="AD146">
        <v>5</v>
      </c>
      <c r="AE146">
        <v>1</v>
      </c>
      <c r="AF146">
        <v>1</v>
      </c>
      <c r="AG146">
        <v>2</v>
      </c>
      <c r="AH146">
        <v>5</v>
      </c>
      <c r="AI146">
        <v>3</v>
      </c>
      <c r="AJ146">
        <v>3</v>
      </c>
      <c r="AK146">
        <v>1</v>
      </c>
      <c r="AM146" t="str">
        <f t="shared" si="56"/>
        <v>85</v>
      </c>
      <c r="AN146">
        <f t="shared" si="57"/>
        <v>0</v>
      </c>
      <c r="AO146">
        <f t="shared" si="58"/>
        <v>0</v>
      </c>
      <c r="AP146" s="15">
        <f t="shared" si="59"/>
        <v>100</v>
      </c>
      <c r="AQ146" s="15">
        <f t="shared" si="60"/>
        <v>100</v>
      </c>
      <c r="AR146" s="15">
        <f t="shared" si="61"/>
        <v>0</v>
      </c>
      <c r="AS146" s="15">
        <f t="shared" si="62"/>
        <v>0</v>
      </c>
      <c r="AT146">
        <f t="shared" si="63"/>
        <v>100</v>
      </c>
      <c r="AU146" s="15">
        <f t="shared" si="64"/>
        <v>100</v>
      </c>
      <c r="AV146" s="15">
        <f t="shared" si="65"/>
        <v>100</v>
      </c>
      <c r="AW146">
        <f t="shared" si="66"/>
        <v>40</v>
      </c>
      <c r="AX146">
        <f t="shared" si="67"/>
        <v>50</v>
      </c>
      <c r="BB146" s="14">
        <f t="shared" si="68"/>
        <v>52.532697329499996</v>
      </c>
      <c r="BC146" s="14">
        <f t="shared" si="69"/>
        <v>34.451875522000002</v>
      </c>
      <c r="BE146" s="14">
        <f t="shared" si="70"/>
        <v>49.798822127500003</v>
      </c>
      <c r="BF146" s="14">
        <f t="shared" si="71"/>
        <v>39.038488702000002</v>
      </c>
      <c r="BH146" t="str">
        <f t="shared" si="72"/>
        <v>85</v>
      </c>
      <c r="BI146">
        <f t="shared" si="73"/>
        <v>0</v>
      </c>
      <c r="BJ146">
        <f t="shared" si="74"/>
        <v>0</v>
      </c>
      <c r="BK146" s="15">
        <f t="shared" si="75"/>
        <v>100</v>
      </c>
      <c r="BL146" s="15">
        <f t="shared" si="76"/>
        <v>100</v>
      </c>
      <c r="BM146" s="15">
        <f t="shared" si="77"/>
        <v>0</v>
      </c>
      <c r="BN146" s="15">
        <f t="shared" si="78"/>
        <v>0</v>
      </c>
      <c r="BO146">
        <f t="shared" si="79"/>
        <v>100</v>
      </c>
      <c r="BP146" s="15">
        <f t="shared" si="80"/>
        <v>100</v>
      </c>
      <c r="BQ146" s="15">
        <f t="shared" si="81"/>
        <v>80</v>
      </c>
      <c r="BR146">
        <f t="shared" si="82"/>
        <v>80</v>
      </c>
      <c r="BS146">
        <f t="shared" si="83"/>
        <v>50</v>
      </c>
    </row>
    <row r="147" spans="1:71" x14ac:dyDescent="0.25">
      <c r="A147">
        <v>146</v>
      </c>
      <c r="B147" t="s">
        <v>454</v>
      </c>
      <c r="C147" t="s">
        <v>111</v>
      </c>
      <c r="D147" s="1" t="d">
        <v>2019-11-01T15:50:23.00000006798654775</v>
      </c>
      <c r="E147" s="1" t="d">
        <v>2019-11-01T16:33:11.00000001490116300</v>
      </c>
      <c r="F147" t="s">
        <v>455</v>
      </c>
      <c r="G147">
        <v>3</v>
      </c>
      <c r="H147">
        <v>2</v>
      </c>
      <c r="I147">
        <v>2</v>
      </c>
      <c r="J147">
        <v>4</v>
      </c>
      <c r="K147">
        <v>3</v>
      </c>
      <c r="L147">
        <v>3</v>
      </c>
      <c r="M147">
        <v>3</v>
      </c>
      <c r="N147">
        <v>3</v>
      </c>
      <c r="O147">
        <v>3</v>
      </c>
      <c r="P147">
        <v>2</v>
      </c>
      <c r="Q147">
        <v>5</v>
      </c>
      <c r="R147">
        <v>3</v>
      </c>
      <c r="S147">
        <v>3</v>
      </c>
      <c r="T147">
        <v>2</v>
      </c>
      <c r="U147" s="1" t="d">
        <v>2020-03-14T09:03:20.99999983794986925</v>
      </c>
      <c r="V147" s="1" t="d">
        <v>2020-03-14T09:25:07.99999984446912975</v>
      </c>
      <c r="W147" t="s">
        <v>456</v>
      </c>
      <c r="X147">
        <v>2</v>
      </c>
      <c r="Y147">
        <v>2</v>
      </c>
      <c r="Z147">
        <v>2</v>
      </c>
      <c r="AA147">
        <v>4</v>
      </c>
      <c r="AB147">
        <v>4</v>
      </c>
      <c r="AC147">
        <v>4</v>
      </c>
      <c r="AD147">
        <v>4</v>
      </c>
      <c r="AE147">
        <v>3</v>
      </c>
      <c r="AF147">
        <v>2</v>
      </c>
      <c r="AG147">
        <v>1</v>
      </c>
      <c r="AH147">
        <v>5</v>
      </c>
      <c r="AI147">
        <v>4</v>
      </c>
      <c r="AJ147">
        <v>3</v>
      </c>
      <c r="AK147">
        <v>2</v>
      </c>
      <c r="AM147" t="str">
        <f t="shared" si="56"/>
        <v>60</v>
      </c>
      <c r="AN147">
        <f t="shared" si="57"/>
        <v>50</v>
      </c>
      <c r="AO147">
        <f t="shared" si="58"/>
        <v>50</v>
      </c>
      <c r="AP147" s="15">
        <f t="shared" si="59"/>
        <v>25</v>
      </c>
      <c r="AQ147" s="15">
        <f t="shared" si="60"/>
        <v>50</v>
      </c>
      <c r="AR147" s="15">
        <f t="shared" si="61"/>
        <v>50</v>
      </c>
      <c r="AS147" s="15">
        <f t="shared" si="62"/>
        <v>50</v>
      </c>
      <c r="AT147">
        <f t="shared" si="63"/>
        <v>50</v>
      </c>
      <c r="AU147" s="15">
        <f t="shared" si="64"/>
        <v>60</v>
      </c>
      <c r="AV147" s="15">
        <f t="shared" si="65"/>
        <v>80</v>
      </c>
      <c r="AW147">
        <f t="shared" si="66"/>
        <v>80</v>
      </c>
      <c r="AX147">
        <f t="shared" si="67"/>
        <v>50</v>
      </c>
      <c r="BB147" s="14">
        <f t="shared" si="68"/>
        <v>36.256844745000002</v>
      </c>
      <c r="BC147" s="14">
        <f t="shared" si="69"/>
        <v>46.048372569999998</v>
      </c>
      <c r="BE147" s="14">
        <f t="shared" si="70"/>
        <v>38.472364666999994</v>
      </c>
      <c r="BF147" s="14">
        <f t="shared" si="71"/>
        <v>47.743867342999998</v>
      </c>
      <c r="BH147" t="str">
        <f t="shared" si="72"/>
        <v>85</v>
      </c>
      <c r="BI147">
        <f t="shared" si="73"/>
        <v>50</v>
      </c>
      <c r="BJ147">
        <f t="shared" si="74"/>
        <v>50</v>
      </c>
      <c r="BK147" s="15">
        <f t="shared" si="75"/>
        <v>25</v>
      </c>
      <c r="BL147" s="15">
        <f t="shared" si="76"/>
        <v>25</v>
      </c>
      <c r="BM147" s="15">
        <f t="shared" si="77"/>
        <v>25</v>
      </c>
      <c r="BN147" s="15">
        <f t="shared" si="78"/>
        <v>25</v>
      </c>
      <c r="BO147">
        <f t="shared" si="79"/>
        <v>50</v>
      </c>
      <c r="BP147" s="15">
        <f t="shared" si="80"/>
        <v>80</v>
      </c>
      <c r="BQ147" s="15">
        <f t="shared" si="81"/>
        <v>100</v>
      </c>
      <c r="BR147">
        <f t="shared" si="82"/>
        <v>80</v>
      </c>
      <c r="BS147">
        <f t="shared" si="83"/>
        <v>75</v>
      </c>
    </row>
    <row r="148" spans="1:71" x14ac:dyDescent="0.25">
      <c r="A148">
        <v>147</v>
      </c>
      <c r="B148" t="s">
        <v>457</v>
      </c>
      <c r="C148" t="s">
        <v>111</v>
      </c>
      <c r="D148" s="1" t="d">
        <v>2019-10-12T13:41:08.00000024959445325</v>
      </c>
      <c r="E148" s="1" t="d">
        <v>2019-10-12T14:21:12.00000020675361300</v>
      </c>
      <c r="F148" t="s">
        <v>458</v>
      </c>
      <c r="G148">
        <v>2</v>
      </c>
      <c r="H148">
        <v>1</v>
      </c>
      <c r="I148">
        <v>1</v>
      </c>
      <c r="J148">
        <v>2</v>
      </c>
      <c r="K148">
        <v>3</v>
      </c>
      <c r="L148">
        <v>3</v>
      </c>
      <c r="M148">
        <v>3</v>
      </c>
      <c r="N148">
        <v>2</v>
      </c>
      <c r="O148">
        <v>2</v>
      </c>
      <c r="P148">
        <v>3</v>
      </c>
      <c r="Q148">
        <v>2</v>
      </c>
      <c r="R148">
        <v>5</v>
      </c>
      <c r="S148">
        <v>4</v>
      </c>
      <c r="T148">
        <v>3</v>
      </c>
      <c r="U148" s="1" t="d">
        <v>2020-03-09T16:21:38.00000020768493400</v>
      </c>
      <c r="V148" s="1" t="d">
        <v>2020-03-09T16:50:01.99999997857958325</v>
      </c>
      <c r="W148" t="s">
        <v>459</v>
      </c>
      <c r="X148">
        <v>3</v>
      </c>
      <c r="Y148">
        <v>1</v>
      </c>
      <c r="Z148">
        <v>1</v>
      </c>
      <c r="AA148">
        <v>2</v>
      </c>
      <c r="AB148">
        <v>2</v>
      </c>
      <c r="AC148">
        <v>3</v>
      </c>
      <c r="AD148">
        <v>3</v>
      </c>
      <c r="AE148">
        <v>3</v>
      </c>
      <c r="AF148">
        <v>2</v>
      </c>
      <c r="AG148">
        <v>3</v>
      </c>
      <c r="AH148">
        <v>3</v>
      </c>
      <c r="AI148">
        <v>4</v>
      </c>
      <c r="AJ148">
        <v>3</v>
      </c>
      <c r="AK148">
        <v>3</v>
      </c>
      <c r="AM148" t="str">
        <f t="shared" si="56"/>
        <v>85</v>
      </c>
      <c r="AN148">
        <f t="shared" si="57"/>
        <v>0</v>
      </c>
      <c r="AO148">
        <f t="shared" si="58"/>
        <v>0</v>
      </c>
      <c r="AP148" s="15">
        <f t="shared" si="59"/>
        <v>75</v>
      </c>
      <c r="AQ148" s="15">
        <f t="shared" si="60"/>
        <v>50</v>
      </c>
      <c r="AR148" s="15">
        <f t="shared" si="61"/>
        <v>50</v>
      </c>
      <c r="AS148" s="15">
        <f t="shared" si="62"/>
        <v>50</v>
      </c>
      <c r="AT148">
        <f t="shared" si="63"/>
        <v>75</v>
      </c>
      <c r="AU148" s="15">
        <f t="shared" si="64"/>
        <v>80</v>
      </c>
      <c r="AV148" s="15">
        <f t="shared" si="65"/>
        <v>60</v>
      </c>
      <c r="AW148">
        <f t="shared" si="66"/>
        <v>20</v>
      </c>
      <c r="AX148">
        <f t="shared" si="67"/>
        <v>100</v>
      </c>
      <c r="BB148" s="14">
        <f t="shared" si="68"/>
        <v>40.1370223455</v>
      </c>
      <c r="BC148" s="14">
        <f t="shared" si="69"/>
        <v>44.776870011</v>
      </c>
      <c r="BE148" s="14">
        <f t="shared" si="70"/>
        <v>35.502703760500005</v>
      </c>
      <c r="BF148" s="14">
        <f t="shared" si="71"/>
        <v>45.065988709499997</v>
      </c>
      <c r="BH148" t="str">
        <f t="shared" si="72"/>
        <v>60</v>
      </c>
      <c r="BI148">
        <f t="shared" si="73"/>
        <v>0</v>
      </c>
      <c r="BJ148">
        <f t="shared" si="74"/>
        <v>0</v>
      </c>
      <c r="BK148" s="15">
        <f t="shared" si="75"/>
        <v>75</v>
      </c>
      <c r="BL148" s="15">
        <f t="shared" si="76"/>
        <v>75</v>
      </c>
      <c r="BM148" s="15">
        <f t="shared" si="77"/>
        <v>50</v>
      </c>
      <c r="BN148" s="15">
        <f t="shared" si="78"/>
        <v>50</v>
      </c>
      <c r="BO148">
        <f t="shared" si="79"/>
        <v>50</v>
      </c>
      <c r="BP148" s="15">
        <f t="shared" si="80"/>
        <v>80</v>
      </c>
      <c r="BQ148" s="15">
        <f t="shared" si="81"/>
        <v>60</v>
      </c>
      <c r="BR148">
        <f t="shared" si="82"/>
        <v>40</v>
      </c>
      <c r="BS148">
        <f t="shared" si="83"/>
        <v>75</v>
      </c>
    </row>
    <row r="149" spans="1:71" x14ac:dyDescent="0.25">
      <c r="A149">
        <v>148</v>
      </c>
      <c r="B149" t="s">
        <v>460</v>
      </c>
      <c r="C149" t="s">
        <v>111</v>
      </c>
      <c r="D149" s="1" t="d">
        <v>2019-10-10T07:34:37.00000000186264200</v>
      </c>
      <c r="E149" s="1" t="d">
        <v>2019-10-10T08:55:13.0000001750886450</v>
      </c>
      <c r="F149" t="s">
        <v>461</v>
      </c>
      <c r="G149">
        <v>3</v>
      </c>
      <c r="H149">
        <v>1</v>
      </c>
      <c r="I149">
        <v>2</v>
      </c>
      <c r="J149">
        <v>4</v>
      </c>
      <c r="K149">
        <v>3</v>
      </c>
      <c r="L149">
        <v>4</v>
      </c>
      <c r="M149">
        <v>3</v>
      </c>
      <c r="N149">
        <v>2</v>
      </c>
      <c r="O149">
        <v>1</v>
      </c>
      <c r="P149">
        <v>1</v>
      </c>
      <c r="Q149">
        <v>6</v>
      </c>
      <c r="R149">
        <v>4</v>
      </c>
      <c r="S149">
        <v>3</v>
      </c>
      <c r="T149">
        <v>2</v>
      </c>
      <c r="U149" s="1" t="d">
        <v>2020-03-09T09:02:56.99999988544732125</v>
      </c>
      <c r="V149" s="1" t="d">
        <v>2020-03-09T09:54:42.0000002626329675</v>
      </c>
      <c r="W149" t="s">
        <v>462</v>
      </c>
      <c r="X149">
        <v>3</v>
      </c>
      <c r="Y149">
        <v>3</v>
      </c>
      <c r="Z149">
        <v>2</v>
      </c>
      <c r="AA149">
        <v>3</v>
      </c>
      <c r="AB149">
        <v>4</v>
      </c>
      <c r="AC149">
        <v>3</v>
      </c>
      <c r="AD149">
        <v>3</v>
      </c>
      <c r="AE149">
        <v>3</v>
      </c>
      <c r="AF149">
        <v>3</v>
      </c>
      <c r="AG149">
        <v>2</v>
      </c>
      <c r="AH149">
        <v>6</v>
      </c>
      <c r="AI149">
        <v>3</v>
      </c>
      <c r="AJ149">
        <v>3</v>
      </c>
      <c r="AK149">
        <v>3</v>
      </c>
      <c r="AM149" t="str">
        <f t="shared" si="56"/>
        <v>60</v>
      </c>
      <c r="AN149">
        <f t="shared" si="57"/>
        <v>0</v>
      </c>
      <c r="AO149">
        <f t="shared" si="58"/>
        <v>50</v>
      </c>
      <c r="AP149" s="15">
        <f t="shared" si="59"/>
        <v>25</v>
      </c>
      <c r="AQ149" s="15">
        <f t="shared" si="60"/>
        <v>50</v>
      </c>
      <c r="AR149" s="15">
        <f t="shared" si="61"/>
        <v>25</v>
      </c>
      <c r="AS149" s="15">
        <f t="shared" si="62"/>
        <v>50</v>
      </c>
      <c r="AT149">
        <f t="shared" si="63"/>
        <v>75</v>
      </c>
      <c r="AU149" s="15">
        <f t="shared" si="64"/>
        <v>100</v>
      </c>
      <c r="AV149" s="15">
        <f t="shared" si="65"/>
        <v>100</v>
      </c>
      <c r="AW149">
        <f t="shared" si="66"/>
        <v>100</v>
      </c>
      <c r="AX149">
        <f t="shared" si="67"/>
        <v>75</v>
      </c>
      <c r="BB149" s="14">
        <f t="shared" si="68"/>
        <v>35.743872064499996</v>
      </c>
      <c r="BC149" s="14">
        <f t="shared" si="69"/>
        <v>55.513664737499994</v>
      </c>
      <c r="BE149" s="14">
        <f t="shared" si="70"/>
        <v>38.381389729999995</v>
      </c>
      <c r="BF149" s="14">
        <f t="shared" si="71"/>
        <v>47.247986235999996</v>
      </c>
      <c r="BH149" t="str">
        <f t="shared" si="72"/>
        <v>60</v>
      </c>
      <c r="BI149">
        <f t="shared" si="73"/>
        <v>100</v>
      </c>
      <c r="BJ149">
        <f t="shared" si="74"/>
        <v>50</v>
      </c>
      <c r="BK149" s="15">
        <f t="shared" si="75"/>
        <v>50</v>
      </c>
      <c r="BL149" s="15">
        <f t="shared" si="76"/>
        <v>25</v>
      </c>
      <c r="BM149" s="15">
        <f t="shared" si="77"/>
        <v>50</v>
      </c>
      <c r="BN149" s="15">
        <f t="shared" si="78"/>
        <v>50</v>
      </c>
      <c r="BO149">
        <f t="shared" si="79"/>
        <v>50</v>
      </c>
      <c r="BP149" s="15">
        <f t="shared" si="80"/>
        <v>60</v>
      </c>
      <c r="BQ149" s="15">
        <f t="shared" si="81"/>
        <v>80</v>
      </c>
      <c r="BR149">
        <f t="shared" si="82"/>
        <v>100</v>
      </c>
      <c r="BS149">
        <f t="shared" si="83"/>
        <v>50</v>
      </c>
    </row>
    <row r="150" spans="1:71" x14ac:dyDescent="0.25">
      <c r="A150">
        <v>149</v>
      </c>
      <c r="B150" t="s">
        <v>463</v>
      </c>
      <c r="C150" t="s">
        <v>111</v>
      </c>
      <c r="D150" s="1" t="d">
        <v>2019-10-05T18:36:49.00000026449560950</v>
      </c>
      <c r="E150" s="1" t="d">
        <v>2019-10-17T17:42:21.00000013131648375</v>
      </c>
      <c r="F150" t="s">
        <v>464</v>
      </c>
      <c r="G150">
        <v>3</v>
      </c>
      <c r="H150">
        <v>2</v>
      </c>
      <c r="I150">
        <v>2</v>
      </c>
      <c r="J150">
        <v>2</v>
      </c>
      <c r="K150">
        <v>3</v>
      </c>
      <c r="L150">
        <v>2</v>
      </c>
      <c r="M150">
        <v>2</v>
      </c>
      <c r="N150">
        <v>4</v>
      </c>
      <c r="O150">
        <v>2</v>
      </c>
      <c r="P150">
        <v>3</v>
      </c>
      <c r="Q150">
        <v>2</v>
      </c>
      <c r="R150">
        <v>2</v>
      </c>
      <c r="S150">
        <v>3</v>
      </c>
      <c r="T150">
        <v>2</v>
      </c>
      <c r="U150" s="1" t="d">
        <v>2020-02-25T21:32:47.99999987706541875</v>
      </c>
      <c r="V150" s="1" t="d">
        <v>2020-02-25T22:22:21.00000020116567350</v>
      </c>
      <c r="W150" t="s">
        <v>465</v>
      </c>
      <c r="X150">
        <v>1</v>
      </c>
      <c r="Y150">
        <v>2</v>
      </c>
      <c r="Z150">
        <v>1</v>
      </c>
      <c r="AA150">
        <v>2</v>
      </c>
      <c r="AB150">
        <v>2</v>
      </c>
      <c r="AC150">
        <v>2</v>
      </c>
      <c r="AD150">
        <v>2</v>
      </c>
      <c r="AE150">
        <v>2</v>
      </c>
      <c r="AF150">
        <v>2</v>
      </c>
      <c r="AG150">
        <v>1</v>
      </c>
      <c r="AH150">
        <v>4</v>
      </c>
      <c r="AI150">
        <v>2</v>
      </c>
      <c r="AJ150">
        <v>1</v>
      </c>
      <c r="AK150">
        <v>2</v>
      </c>
      <c r="AM150" t="str">
        <f t="shared" si="56"/>
        <v>60</v>
      </c>
      <c r="AN150">
        <f t="shared" si="57"/>
        <v>50</v>
      </c>
      <c r="AO150">
        <f t="shared" si="58"/>
        <v>50</v>
      </c>
      <c r="AP150" s="15">
        <f t="shared" si="59"/>
        <v>75</v>
      </c>
      <c r="AQ150" s="15">
        <f t="shared" si="60"/>
        <v>50</v>
      </c>
      <c r="AR150" s="15">
        <f t="shared" si="61"/>
        <v>75</v>
      </c>
      <c r="AS150" s="15">
        <f t="shared" si="62"/>
        <v>75</v>
      </c>
      <c r="AT150">
        <f t="shared" si="63"/>
        <v>25</v>
      </c>
      <c r="AU150" s="15">
        <f t="shared" si="64"/>
        <v>80</v>
      </c>
      <c r="AV150" s="15">
        <f t="shared" si="65"/>
        <v>60</v>
      </c>
      <c r="AW150">
        <f t="shared" si="66"/>
        <v>20</v>
      </c>
      <c r="AX150">
        <f t="shared" si="67"/>
        <v>25</v>
      </c>
      <c r="BB150" s="14">
        <f t="shared" si="68"/>
        <v>35.884568930500002</v>
      </c>
      <c r="BC150" s="14">
        <f t="shared" si="69"/>
        <v>39.710500810999996</v>
      </c>
      <c r="BE150" s="14">
        <f t="shared" si="70"/>
        <v>42.889718668499995</v>
      </c>
      <c r="BF150" s="14">
        <f t="shared" si="71"/>
        <v>48.170087697</v>
      </c>
      <c r="BH150" t="str">
        <f t="shared" si="72"/>
        <v>100</v>
      </c>
      <c r="BI150">
        <f t="shared" si="73"/>
        <v>50</v>
      </c>
      <c r="BJ150">
        <f t="shared" si="74"/>
        <v>0</v>
      </c>
      <c r="BK150" s="15">
        <f t="shared" si="75"/>
        <v>75</v>
      </c>
      <c r="BL150" s="15">
        <f t="shared" si="76"/>
        <v>75</v>
      </c>
      <c r="BM150" s="15">
        <f t="shared" si="77"/>
        <v>75</v>
      </c>
      <c r="BN150" s="15">
        <f t="shared" si="78"/>
        <v>75</v>
      </c>
      <c r="BO150">
        <f t="shared" si="79"/>
        <v>75</v>
      </c>
      <c r="BP150" s="15">
        <f t="shared" si="80"/>
        <v>80</v>
      </c>
      <c r="BQ150" s="15">
        <f t="shared" si="81"/>
        <v>100</v>
      </c>
      <c r="BR150">
        <f t="shared" si="82"/>
        <v>60</v>
      </c>
      <c r="BS150">
        <f t="shared" si="83"/>
        <v>25</v>
      </c>
    </row>
    <row r="151" spans="1:71" x14ac:dyDescent="0.25">
      <c r="A151">
        <v>150</v>
      </c>
      <c r="B151" t="s">
        <v>466</v>
      </c>
      <c r="C151" t="s">
        <v>111</v>
      </c>
      <c r="D151" s="1" t="d">
        <v>2019-09-28T15:46:08.99999978486448450</v>
      </c>
      <c r="E151" s="1" t="d">
        <v>2019-09-28T16:23:47.99999979324638700</v>
      </c>
      <c r="F151" t="s">
        <v>467</v>
      </c>
      <c r="G151">
        <v>4</v>
      </c>
      <c r="H151">
        <v>1</v>
      </c>
      <c r="I151">
        <v>1</v>
      </c>
      <c r="J151">
        <v>1</v>
      </c>
      <c r="K151">
        <v>1</v>
      </c>
      <c r="L151">
        <v>3</v>
      </c>
      <c r="M151">
        <v>3</v>
      </c>
      <c r="N151">
        <v>1</v>
      </c>
      <c r="O151">
        <v>5</v>
      </c>
      <c r="P151">
        <v>2</v>
      </c>
      <c r="Q151">
        <v>3</v>
      </c>
      <c r="R151">
        <v>4</v>
      </c>
      <c r="S151">
        <v>3</v>
      </c>
      <c r="T151">
        <v>3</v>
      </c>
      <c r="U151" s="1" t="d">
        <v>2020-02-01T13:23:39.99999980907887100</v>
      </c>
      <c r="V151" s="1" t="d">
        <v>2020-02-01T13:51:02.00000017415732400</v>
      </c>
      <c r="W151" t="s">
        <v>468</v>
      </c>
      <c r="X151">
        <v>4</v>
      </c>
      <c r="Y151">
        <v>1</v>
      </c>
      <c r="Z151">
        <v>1</v>
      </c>
      <c r="AA151">
        <v>2</v>
      </c>
      <c r="AB151">
        <v>2</v>
      </c>
      <c r="AC151">
        <v>3</v>
      </c>
      <c r="AD151">
        <v>2</v>
      </c>
      <c r="AE151">
        <v>2</v>
      </c>
      <c r="AF151">
        <v>3</v>
      </c>
      <c r="AG151">
        <v>1</v>
      </c>
      <c r="AH151">
        <v>4</v>
      </c>
      <c r="AI151">
        <v>3</v>
      </c>
      <c r="AJ151">
        <v>4</v>
      </c>
      <c r="AK151">
        <v>2</v>
      </c>
      <c r="AM151" t="str">
        <f t="shared" si="56"/>
        <v>35</v>
      </c>
      <c r="AN151">
        <f t="shared" si="57"/>
        <v>0</v>
      </c>
      <c r="AO151">
        <f t="shared" si="58"/>
        <v>0</v>
      </c>
      <c r="AP151" s="15">
        <f t="shared" si="59"/>
        <v>100</v>
      </c>
      <c r="AQ151" s="15">
        <f t="shared" si="60"/>
        <v>100</v>
      </c>
      <c r="AR151" s="15">
        <f t="shared" si="61"/>
        <v>50</v>
      </c>
      <c r="AS151" s="15">
        <f t="shared" si="62"/>
        <v>50</v>
      </c>
      <c r="AT151">
        <f t="shared" si="63"/>
        <v>100</v>
      </c>
      <c r="AU151" s="15">
        <f t="shared" si="64"/>
        <v>20</v>
      </c>
      <c r="AV151" s="15">
        <f t="shared" si="65"/>
        <v>80</v>
      </c>
      <c r="AW151">
        <f t="shared" si="66"/>
        <v>40</v>
      </c>
      <c r="AX151">
        <f t="shared" si="67"/>
        <v>75</v>
      </c>
      <c r="BB151" s="14">
        <f t="shared" si="68"/>
        <v>47.035530199999997</v>
      </c>
      <c r="BC151" s="14">
        <f t="shared" si="69"/>
        <v>37.448707868499994</v>
      </c>
      <c r="BE151" s="14">
        <f t="shared" si="70"/>
        <v>36.953549439500001</v>
      </c>
      <c r="BF151" s="14">
        <f t="shared" si="71"/>
        <v>47.3635688285</v>
      </c>
      <c r="BH151" t="str">
        <f t="shared" si="72"/>
        <v>35</v>
      </c>
      <c r="BI151">
        <f t="shared" si="73"/>
        <v>0</v>
      </c>
      <c r="BJ151">
        <f t="shared" si="74"/>
        <v>0</v>
      </c>
      <c r="BK151" s="15">
        <f t="shared" si="75"/>
        <v>75</v>
      </c>
      <c r="BL151" s="15">
        <f t="shared" si="76"/>
        <v>75</v>
      </c>
      <c r="BM151" s="15">
        <f t="shared" si="77"/>
        <v>50</v>
      </c>
      <c r="BN151" s="15">
        <f t="shared" si="78"/>
        <v>75</v>
      </c>
      <c r="BO151">
        <f t="shared" si="79"/>
        <v>75</v>
      </c>
      <c r="BP151" s="15">
        <f t="shared" si="80"/>
        <v>60</v>
      </c>
      <c r="BQ151" s="15">
        <f t="shared" si="81"/>
        <v>100</v>
      </c>
      <c r="BR151">
        <f t="shared" si="82"/>
        <v>60</v>
      </c>
      <c r="BS151">
        <f t="shared" si="83"/>
        <v>50</v>
      </c>
    </row>
    <row r="152" spans="1:71" x14ac:dyDescent="0.25">
      <c r="A152">
        <v>151</v>
      </c>
      <c r="B152" t="s">
        <v>469</v>
      </c>
      <c r="C152" t="s">
        <v>111</v>
      </c>
      <c r="D152" s="1" t="d">
        <v>2019-10-04T16:40:17.99999987706541875</v>
      </c>
      <c r="E152" s="1" t="d">
        <v>2019-10-04T17:47:47.99999987706541875</v>
      </c>
      <c r="F152" t="s">
        <v>470</v>
      </c>
      <c r="G152">
        <v>2</v>
      </c>
      <c r="H152">
        <v>1</v>
      </c>
      <c r="I152">
        <v>1</v>
      </c>
      <c r="J152">
        <v>1</v>
      </c>
      <c r="K152">
        <v>1</v>
      </c>
      <c r="L152">
        <v>4</v>
      </c>
      <c r="M152">
        <v>3</v>
      </c>
      <c r="N152">
        <v>1</v>
      </c>
      <c r="O152">
        <v>2</v>
      </c>
      <c r="P152">
        <v>2</v>
      </c>
      <c r="Q152">
        <v>5</v>
      </c>
      <c r="R152">
        <v>5</v>
      </c>
      <c r="S152">
        <v>3</v>
      </c>
      <c r="T152">
        <v>3</v>
      </c>
      <c r="U152" s="1" t="d">
        <v>2020-02-05T18:36:06.0000002710148700</v>
      </c>
      <c r="V152" s="1" t="d">
        <v>2020-02-05T19:13:55.00000010244548550</v>
      </c>
      <c r="W152" t="s">
        <v>471</v>
      </c>
      <c r="X152">
        <v>2</v>
      </c>
      <c r="Y152">
        <v>1</v>
      </c>
      <c r="Z152">
        <v>1</v>
      </c>
      <c r="AA152">
        <v>1</v>
      </c>
      <c r="AB152">
        <v>1</v>
      </c>
      <c r="AC152">
        <v>3</v>
      </c>
      <c r="AD152">
        <v>3</v>
      </c>
      <c r="AE152">
        <v>2</v>
      </c>
      <c r="AF152">
        <v>2</v>
      </c>
      <c r="AG152">
        <v>3</v>
      </c>
      <c r="AH152">
        <v>3</v>
      </c>
      <c r="AI152">
        <v>4</v>
      </c>
      <c r="AJ152">
        <v>3</v>
      </c>
      <c r="AK152">
        <v>3</v>
      </c>
      <c r="AM152" t="str">
        <f t="shared" si="56"/>
        <v>85</v>
      </c>
      <c r="AN152">
        <f t="shared" si="57"/>
        <v>0</v>
      </c>
      <c r="AO152">
        <f t="shared" si="58"/>
        <v>0</v>
      </c>
      <c r="AP152" s="15">
        <f t="shared" si="59"/>
        <v>100</v>
      </c>
      <c r="AQ152" s="15">
        <f t="shared" si="60"/>
        <v>100</v>
      </c>
      <c r="AR152" s="15">
        <f t="shared" si="61"/>
        <v>25</v>
      </c>
      <c r="AS152" s="15">
        <f t="shared" si="62"/>
        <v>50</v>
      </c>
      <c r="AT152">
        <f t="shared" si="63"/>
        <v>100</v>
      </c>
      <c r="AU152" s="15">
        <f t="shared" si="64"/>
        <v>80</v>
      </c>
      <c r="AV152" s="15">
        <f t="shared" si="65"/>
        <v>80</v>
      </c>
      <c r="AW152">
        <f t="shared" si="66"/>
        <v>80</v>
      </c>
      <c r="AX152">
        <f t="shared" si="67"/>
        <v>100</v>
      </c>
      <c r="BB152" s="14">
        <f t="shared" si="68"/>
        <v>47.8241396775</v>
      </c>
      <c r="BC152" s="14">
        <f t="shared" si="69"/>
        <v>49.489760830999998</v>
      </c>
      <c r="BE152" s="14">
        <f t="shared" si="70"/>
        <v>44.454685127999994</v>
      </c>
      <c r="BF152" s="14">
        <f t="shared" si="71"/>
        <v>43.188163109499996</v>
      </c>
      <c r="BH152" t="str">
        <f t="shared" si="72"/>
        <v>85</v>
      </c>
      <c r="BI152">
        <f t="shared" si="73"/>
        <v>0</v>
      </c>
      <c r="BJ152">
        <f t="shared" si="74"/>
        <v>0</v>
      </c>
      <c r="BK152" s="15">
        <f t="shared" si="75"/>
        <v>100</v>
      </c>
      <c r="BL152" s="15">
        <f t="shared" si="76"/>
        <v>100</v>
      </c>
      <c r="BM152" s="15">
        <f t="shared" si="77"/>
        <v>50</v>
      </c>
      <c r="BN152" s="15">
        <f t="shared" si="78"/>
        <v>50</v>
      </c>
      <c r="BO152">
        <f t="shared" si="79"/>
        <v>75</v>
      </c>
      <c r="BP152" s="15">
        <f t="shared" si="80"/>
        <v>80</v>
      </c>
      <c r="BQ152" s="15">
        <f t="shared" si="81"/>
        <v>60</v>
      </c>
      <c r="BR152">
        <f t="shared" si="82"/>
        <v>40</v>
      </c>
      <c r="BS152">
        <f t="shared" si="83"/>
        <v>75</v>
      </c>
    </row>
    <row r="153" spans="1:71" x14ac:dyDescent="0.25">
      <c r="A153">
        <v>152</v>
      </c>
      <c r="B153" t="s">
        <v>472</v>
      </c>
      <c r="C153" t="s">
        <v>111</v>
      </c>
      <c r="D153" s="1" t="d">
        <v>2019-10-12T07:03:21.99999986216425575</v>
      </c>
      <c r="E153" s="1" t="d">
        <v>2019-10-12T07:57:03.9999999292194825</v>
      </c>
      <c r="F153" t="s">
        <v>473</v>
      </c>
      <c r="G153">
        <v>1</v>
      </c>
      <c r="H153">
        <v>3</v>
      </c>
      <c r="I153">
        <v>3</v>
      </c>
      <c r="J153">
        <v>3</v>
      </c>
      <c r="K153">
        <v>3</v>
      </c>
      <c r="L153">
        <v>2</v>
      </c>
      <c r="M153">
        <v>2</v>
      </c>
      <c r="N153">
        <v>5</v>
      </c>
      <c r="O153">
        <v>4</v>
      </c>
      <c r="P153">
        <v>3</v>
      </c>
      <c r="Q153">
        <v>3</v>
      </c>
      <c r="R153">
        <v>4</v>
      </c>
      <c r="S153">
        <v>1</v>
      </c>
      <c r="T153">
        <v>4</v>
      </c>
      <c r="U153" s="1" t="d">
        <v>2020-01-30T20:46:21.00000028498470525</v>
      </c>
      <c r="V153" s="1" t="d">
        <v>2020-01-30T21:20:38.00000022165477600</v>
      </c>
      <c r="W153" t="s">
        <v>474</v>
      </c>
      <c r="X153">
        <v>2</v>
      </c>
      <c r="Y153">
        <v>2</v>
      </c>
      <c r="Z153">
        <v>3</v>
      </c>
      <c r="AA153">
        <v>3</v>
      </c>
      <c r="AB153">
        <v>3</v>
      </c>
      <c r="AC153">
        <v>3</v>
      </c>
      <c r="AD153">
        <v>2</v>
      </c>
      <c r="AE153">
        <v>5</v>
      </c>
      <c r="AF153">
        <v>4</v>
      </c>
      <c r="AG153">
        <v>3</v>
      </c>
      <c r="AH153">
        <v>2</v>
      </c>
      <c r="AI153">
        <v>5</v>
      </c>
      <c r="AJ153">
        <v>2</v>
      </c>
      <c r="AK153">
        <v>3</v>
      </c>
      <c r="AM153" t="str">
        <f t="shared" si="56"/>
        <v>100</v>
      </c>
      <c r="AN153">
        <f t="shared" si="57"/>
        <v>100</v>
      </c>
      <c r="AO153">
        <f t="shared" si="58"/>
        <v>100</v>
      </c>
      <c r="AP153" s="15">
        <f t="shared" si="59"/>
        <v>50</v>
      </c>
      <c r="AQ153" s="15">
        <f t="shared" si="60"/>
        <v>50</v>
      </c>
      <c r="AR153" s="15">
        <f t="shared" si="61"/>
        <v>75</v>
      </c>
      <c r="AS153" s="15">
        <f t="shared" si="62"/>
        <v>75</v>
      </c>
      <c r="AT153">
        <f t="shared" si="63"/>
        <v>0</v>
      </c>
      <c r="AU153" s="15">
        <f t="shared" si="64"/>
        <v>40</v>
      </c>
      <c r="AV153" s="15">
        <f t="shared" si="65"/>
        <v>60</v>
      </c>
      <c r="AW153">
        <f t="shared" si="66"/>
        <v>40</v>
      </c>
      <c r="AX153">
        <f t="shared" si="67"/>
        <v>75</v>
      </c>
      <c r="BB153" s="14">
        <f t="shared" si="68"/>
        <v>41.727563279500004</v>
      </c>
      <c r="BC153" s="14">
        <f t="shared" si="69"/>
        <v>41.598605974999998</v>
      </c>
      <c r="BE153" s="14">
        <f t="shared" si="70"/>
        <v>39.923023505499998</v>
      </c>
      <c r="BF153" s="14">
        <f t="shared" si="71"/>
        <v>39.9468828965</v>
      </c>
      <c r="BH153" t="str">
        <f t="shared" si="72"/>
        <v>85</v>
      </c>
      <c r="BI153">
        <f t="shared" si="73"/>
        <v>50</v>
      </c>
      <c r="BJ153">
        <f t="shared" si="74"/>
        <v>100</v>
      </c>
      <c r="BK153" s="15">
        <f t="shared" si="75"/>
        <v>50</v>
      </c>
      <c r="BL153" s="15">
        <f t="shared" si="76"/>
        <v>50</v>
      </c>
      <c r="BM153" s="15">
        <f t="shared" si="77"/>
        <v>50</v>
      </c>
      <c r="BN153" s="15">
        <f t="shared" si="78"/>
        <v>75</v>
      </c>
      <c r="BO153">
        <f t="shared" si="79"/>
        <v>0</v>
      </c>
      <c r="BP153" s="15">
        <f t="shared" si="80"/>
        <v>40</v>
      </c>
      <c r="BQ153" s="15">
        <f t="shared" si="81"/>
        <v>60</v>
      </c>
      <c r="BR153">
        <f t="shared" si="82"/>
        <v>20</v>
      </c>
      <c r="BS153">
        <f t="shared" si="83"/>
        <v>100</v>
      </c>
    </row>
    <row r="154" spans="1:71" x14ac:dyDescent="0.25">
      <c r="A154">
        <v>153</v>
      </c>
      <c r="B154" t="s">
        <v>475</v>
      </c>
      <c r="C154" t="s">
        <v>111</v>
      </c>
      <c r="D154" s="1" t="d">
        <v>2019-10-11T07:12:13.99999975226819550</v>
      </c>
      <c r="E154" s="1" t="d">
        <v>2019-10-19T00:32:44.00000019930303150</v>
      </c>
      <c r="F154" t="s">
        <v>476</v>
      </c>
      <c r="G154">
        <v>2</v>
      </c>
      <c r="H154">
        <v>2</v>
      </c>
      <c r="I154">
        <v>2</v>
      </c>
      <c r="J154">
        <v>3</v>
      </c>
      <c r="K154">
        <v>2</v>
      </c>
      <c r="L154">
        <v>3</v>
      </c>
      <c r="M154">
        <v>2</v>
      </c>
      <c r="N154">
        <v>4</v>
      </c>
      <c r="O154">
        <v>3</v>
      </c>
      <c r="P154">
        <v>2</v>
      </c>
      <c r="Q154">
        <v>3</v>
      </c>
      <c r="R154">
        <v>4</v>
      </c>
      <c r="S154">
        <v>3</v>
      </c>
      <c r="T154">
        <v>4</v>
      </c>
      <c r="AM154" t="str">
        <f t="shared" si="56"/>
        <v>85</v>
      </c>
      <c r="AN154">
        <f t="shared" si="57"/>
        <v>50</v>
      </c>
      <c r="AO154">
        <f t="shared" si="58"/>
        <v>50</v>
      </c>
      <c r="AP154" s="15">
        <f t="shared" si="59"/>
        <v>50</v>
      </c>
      <c r="AQ154" s="15">
        <f t="shared" si="60"/>
        <v>75</v>
      </c>
      <c r="AR154" s="15">
        <f t="shared" si="61"/>
        <v>50</v>
      </c>
      <c r="AS154" s="15">
        <f t="shared" si="62"/>
        <v>75</v>
      </c>
      <c r="AT154">
        <f t="shared" si="63"/>
        <v>25</v>
      </c>
      <c r="AU154" s="15">
        <f t="shared" si="64"/>
        <v>60</v>
      </c>
      <c r="AV154" s="15">
        <f t="shared" si="65"/>
        <v>80</v>
      </c>
      <c r="AW154">
        <f t="shared" si="66"/>
        <v>40</v>
      </c>
      <c r="AX154">
        <f t="shared" si="67"/>
        <v>75</v>
      </c>
      <c r="BB154" s="14">
        <f t="shared" si="68"/>
        <v>39.953095004999994</v>
      </c>
      <c r="BC154" s="14">
        <f t="shared" si="69"/>
        <v>44.150104527999993</v>
      </c>
      <c r="BK154" s="15"/>
      <c r="BL154" s="15"/>
      <c r="BM154" s="15"/>
      <c r="BN154" s="15"/>
      <c r="BP154" s="15"/>
      <c r="BQ154" s="15"/>
    </row>
    <row r="155" spans="1:71" x14ac:dyDescent="0.25">
      <c r="A155">
        <v>154</v>
      </c>
      <c r="B155" t="s">
        <v>477</v>
      </c>
      <c r="C155" t="s">
        <v>111</v>
      </c>
      <c r="D155" s="1" t="d">
        <v>2019-10-17T15:22:01.00000013597309550</v>
      </c>
      <c r="E155" s="1" t="d">
        <v>2019-10-17T15:48:50.99999993573874300</v>
      </c>
      <c r="F155" t="s">
        <v>478</v>
      </c>
      <c r="G155">
        <v>2</v>
      </c>
      <c r="H155">
        <v>3</v>
      </c>
      <c r="I155">
        <v>1</v>
      </c>
      <c r="J155">
        <v>5</v>
      </c>
      <c r="K155">
        <v>5</v>
      </c>
      <c r="L155">
        <v>5</v>
      </c>
      <c r="M155">
        <v>5</v>
      </c>
      <c r="N155">
        <v>2</v>
      </c>
      <c r="O155">
        <v>1</v>
      </c>
      <c r="P155">
        <v>1</v>
      </c>
      <c r="Q155">
        <v>6</v>
      </c>
      <c r="R155">
        <v>5</v>
      </c>
      <c r="S155">
        <v>3</v>
      </c>
      <c r="T155">
        <v>1</v>
      </c>
      <c r="U155" s="1" t="d">
        <v>2020-03-07T10:54:26.99999968986958050</v>
      </c>
      <c r="V155" s="1" t="d">
        <v>2020-03-07T11:11:02.00000031385571025</v>
      </c>
      <c r="W155" t="s">
        <v>479</v>
      </c>
      <c r="X155">
        <v>2</v>
      </c>
      <c r="Y155">
        <v>1</v>
      </c>
      <c r="Z155">
        <v>1</v>
      </c>
      <c r="AA155">
        <v>5</v>
      </c>
      <c r="AB155">
        <v>5</v>
      </c>
      <c r="AC155">
        <v>5</v>
      </c>
      <c r="AD155">
        <v>5</v>
      </c>
      <c r="AE155">
        <v>1</v>
      </c>
      <c r="AF155">
        <v>1</v>
      </c>
      <c r="AG155">
        <v>1</v>
      </c>
      <c r="AH155">
        <v>2</v>
      </c>
      <c r="AI155">
        <v>3</v>
      </c>
      <c r="AJ155">
        <v>3</v>
      </c>
      <c r="AK155">
        <v>3</v>
      </c>
      <c r="AM155" t="str">
        <f t="shared" si="56"/>
        <v>85</v>
      </c>
      <c r="AN155">
        <f t="shared" si="57"/>
        <v>100</v>
      </c>
      <c r="AO155">
        <f t="shared" si="58"/>
        <v>0</v>
      </c>
      <c r="AP155" s="15">
        <f t="shared" si="59"/>
        <v>0</v>
      </c>
      <c r="AQ155" s="15">
        <f t="shared" si="60"/>
        <v>0</v>
      </c>
      <c r="AR155" s="15">
        <f t="shared" si="61"/>
        <v>0</v>
      </c>
      <c r="AS155" s="15">
        <f t="shared" si="62"/>
        <v>0</v>
      </c>
      <c r="AT155">
        <f t="shared" si="63"/>
        <v>75</v>
      </c>
      <c r="AU155" s="15">
        <f t="shared" si="64"/>
        <v>100</v>
      </c>
      <c r="AV155" s="15">
        <f t="shared" si="65"/>
        <v>100</v>
      </c>
      <c r="AW155">
        <f t="shared" si="66"/>
        <v>100</v>
      </c>
      <c r="AX155">
        <f t="shared" si="67"/>
        <v>100</v>
      </c>
      <c r="BB155" s="14">
        <f t="shared" si="68"/>
        <v>38.133268859499999</v>
      </c>
      <c r="BC155" s="14">
        <f t="shared" si="69"/>
        <v>50.88527328</v>
      </c>
      <c r="BE155" s="14">
        <f t="shared" si="70"/>
        <v>39.014748329499994</v>
      </c>
      <c r="BF155" s="14">
        <f t="shared" si="71"/>
        <v>36.446870406000002</v>
      </c>
      <c r="BH155" t="str">
        <f t="shared" si="72"/>
        <v>85</v>
      </c>
      <c r="BI155">
        <f t="shared" si="73"/>
        <v>0</v>
      </c>
      <c r="BJ155">
        <f t="shared" si="74"/>
        <v>0</v>
      </c>
      <c r="BK155" s="15">
        <f t="shared" si="75"/>
        <v>0</v>
      </c>
      <c r="BL155" s="15">
        <f t="shared" si="76"/>
        <v>0</v>
      </c>
      <c r="BM155" s="15">
        <f t="shared" si="77"/>
        <v>0</v>
      </c>
      <c r="BN155" s="15">
        <f t="shared" si="78"/>
        <v>0</v>
      </c>
      <c r="BO155">
        <f t="shared" si="79"/>
        <v>100</v>
      </c>
      <c r="BP155" s="15">
        <f t="shared" si="80"/>
        <v>100</v>
      </c>
      <c r="BQ155" s="15">
        <f t="shared" si="81"/>
        <v>100</v>
      </c>
      <c r="BR155">
        <f t="shared" si="82"/>
        <v>20</v>
      </c>
      <c r="BS155">
        <f t="shared" si="83"/>
        <v>50</v>
      </c>
    </row>
    <row r="156" spans="1:71" x14ac:dyDescent="0.25">
      <c r="A156">
        <v>155</v>
      </c>
      <c r="B156" t="s">
        <v>480</v>
      </c>
      <c r="C156" t="s">
        <v>111</v>
      </c>
      <c r="U156" s="1" t="d">
        <v>2020-04-01T18:50:45.99999978672713325</v>
      </c>
      <c r="V156" s="1" t="d">
        <v>2020-04-01T19:21:09.99999994877725725</v>
      </c>
      <c r="W156" t="s">
        <v>481</v>
      </c>
      <c r="X156">
        <v>2</v>
      </c>
      <c r="Y156">
        <v>2</v>
      </c>
      <c r="Z156">
        <v>2</v>
      </c>
      <c r="AA156">
        <v>4</v>
      </c>
      <c r="AB156">
        <v>4</v>
      </c>
      <c r="AC156">
        <v>4</v>
      </c>
      <c r="AD156">
        <v>4</v>
      </c>
      <c r="AE156">
        <v>4</v>
      </c>
      <c r="AF156">
        <v>3</v>
      </c>
      <c r="AG156">
        <v>2</v>
      </c>
      <c r="AH156">
        <v>5</v>
      </c>
      <c r="AI156">
        <v>4</v>
      </c>
      <c r="AJ156">
        <v>3</v>
      </c>
      <c r="AK156">
        <v>4</v>
      </c>
      <c r="AP156" s="15"/>
      <c r="AQ156" s="15"/>
      <c r="AR156" s="15"/>
      <c r="AS156" s="15"/>
      <c r="AU156" s="15"/>
      <c r="AV156" s="15"/>
      <c r="BE156" s="14">
        <f t="shared" si="70"/>
        <v>35.371849959999992</v>
      </c>
      <c r="BF156" s="14">
        <f t="shared" si="71"/>
        <v>44.776439009999997</v>
      </c>
      <c r="BH156" t="str">
        <f t="shared" si="72"/>
        <v>85</v>
      </c>
      <c r="BI156">
        <f t="shared" si="73"/>
        <v>50</v>
      </c>
      <c r="BJ156">
        <f t="shared" si="74"/>
        <v>50</v>
      </c>
      <c r="BK156" s="15">
        <f t="shared" si="75"/>
        <v>25</v>
      </c>
      <c r="BL156" s="15">
        <f t="shared" si="76"/>
        <v>25</v>
      </c>
      <c r="BM156" s="15">
        <f t="shared" si="77"/>
        <v>25</v>
      </c>
      <c r="BN156" s="15">
        <f t="shared" si="78"/>
        <v>25</v>
      </c>
      <c r="BO156">
        <f t="shared" si="79"/>
        <v>25</v>
      </c>
      <c r="BP156" s="15">
        <f t="shared" si="80"/>
        <v>60</v>
      </c>
      <c r="BQ156" s="15">
        <f t="shared" si="81"/>
        <v>80</v>
      </c>
      <c r="BR156">
        <f t="shared" si="82"/>
        <v>80</v>
      </c>
      <c r="BS156">
        <f t="shared" si="83"/>
        <v>75</v>
      </c>
    </row>
    <row r="157" spans="1:71" x14ac:dyDescent="0.25">
      <c r="A157">
        <v>156</v>
      </c>
      <c r="B157" t="s">
        <v>482</v>
      </c>
      <c r="C157" t="s">
        <v>111</v>
      </c>
      <c r="D157" s="1" t="d">
        <v>2019-11-07T11:46:37.99999985843897175</v>
      </c>
      <c r="E157" s="1" t="d">
        <v>2019-11-07T12:50:10.99999977741390300</v>
      </c>
      <c r="F157" t="s">
        <v>483</v>
      </c>
      <c r="G157">
        <v>1</v>
      </c>
      <c r="H157">
        <v>1</v>
      </c>
      <c r="I157">
        <v>1</v>
      </c>
      <c r="J157">
        <v>4</v>
      </c>
      <c r="K157">
        <v>4</v>
      </c>
      <c r="L157">
        <v>4</v>
      </c>
      <c r="M157">
        <v>4</v>
      </c>
      <c r="N157">
        <v>2</v>
      </c>
      <c r="O157">
        <v>1</v>
      </c>
      <c r="P157">
        <v>1</v>
      </c>
      <c r="Q157">
        <v>4</v>
      </c>
      <c r="R157">
        <v>5</v>
      </c>
      <c r="S157">
        <v>3</v>
      </c>
      <c r="T157">
        <v>3</v>
      </c>
      <c r="U157" s="1" t="d">
        <v>2020-03-14T06:18:05.00000028870999600</v>
      </c>
      <c r="V157" s="1" t="d">
        <v>2020-03-14T07:02:27.00000020675361300</v>
      </c>
      <c r="W157" t="s">
        <v>484</v>
      </c>
      <c r="X157">
        <v>2</v>
      </c>
      <c r="Y157">
        <v>1</v>
      </c>
      <c r="Z157">
        <v>2</v>
      </c>
      <c r="AA157">
        <v>3</v>
      </c>
      <c r="AB157">
        <v>2</v>
      </c>
      <c r="AC157">
        <v>4</v>
      </c>
      <c r="AD157">
        <v>4</v>
      </c>
      <c r="AE157">
        <v>2</v>
      </c>
      <c r="AF157">
        <v>1</v>
      </c>
      <c r="AG157">
        <v>1</v>
      </c>
      <c r="AH157">
        <v>5</v>
      </c>
      <c r="AI157">
        <v>5</v>
      </c>
      <c r="AJ157">
        <v>3</v>
      </c>
      <c r="AK157">
        <v>2</v>
      </c>
      <c r="AM157" t="str">
        <f t="shared" si="56"/>
        <v>100</v>
      </c>
      <c r="AN157">
        <f t="shared" si="57"/>
        <v>0</v>
      </c>
      <c r="AO157">
        <f t="shared" si="58"/>
        <v>0</v>
      </c>
      <c r="AP157" s="15">
        <f t="shared" si="59"/>
        <v>25</v>
      </c>
      <c r="AQ157" s="15">
        <f t="shared" si="60"/>
        <v>25</v>
      </c>
      <c r="AR157" s="15">
        <f t="shared" si="61"/>
        <v>25</v>
      </c>
      <c r="AS157" s="15">
        <f t="shared" si="62"/>
        <v>25</v>
      </c>
      <c r="AT157">
        <f t="shared" si="63"/>
        <v>75</v>
      </c>
      <c r="AU157" s="15">
        <f t="shared" si="64"/>
        <v>100</v>
      </c>
      <c r="AV157" s="15">
        <f t="shared" si="65"/>
        <v>100</v>
      </c>
      <c r="AW157">
        <f t="shared" si="66"/>
        <v>60</v>
      </c>
      <c r="AX157">
        <f t="shared" si="67"/>
        <v>100</v>
      </c>
      <c r="BB157" s="14">
        <f t="shared" si="68"/>
        <v>36.334768290999996</v>
      </c>
      <c r="BC157" s="14">
        <f t="shared" si="69"/>
        <v>52.389561600499995</v>
      </c>
      <c r="BE157" s="14">
        <f t="shared" si="70"/>
        <v>43.335694139500006</v>
      </c>
      <c r="BF157" s="14">
        <f t="shared" si="71"/>
        <v>51.950072491499995</v>
      </c>
      <c r="BH157" t="str">
        <f t="shared" si="72"/>
        <v>85</v>
      </c>
      <c r="BI157">
        <f t="shared" si="73"/>
        <v>0</v>
      </c>
      <c r="BJ157">
        <f t="shared" si="74"/>
        <v>50</v>
      </c>
      <c r="BK157" s="15">
        <f t="shared" si="75"/>
        <v>50</v>
      </c>
      <c r="BL157" s="15">
        <f t="shared" si="76"/>
        <v>75</v>
      </c>
      <c r="BM157" s="15">
        <f t="shared" si="77"/>
        <v>25</v>
      </c>
      <c r="BN157" s="15">
        <f t="shared" si="78"/>
        <v>25</v>
      </c>
      <c r="BO157">
        <f t="shared" si="79"/>
        <v>75</v>
      </c>
      <c r="BP157" s="15">
        <f t="shared" si="80"/>
        <v>100</v>
      </c>
      <c r="BQ157" s="15">
        <f t="shared" si="81"/>
        <v>100</v>
      </c>
      <c r="BR157">
        <f t="shared" si="82"/>
        <v>80</v>
      </c>
      <c r="BS157">
        <f t="shared" si="83"/>
        <v>100</v>
      </c>
    </row>
    <row r="158" spans="1:71" x14ac:dyDescent="0.25">
      <c r="A158">
        <v>157</v>
      </c>
      <c r="B158" t="s">
        <v>485</v>
      </c>
      <c r="C158" t="s">
        <v>111</v>
      </c>
      <c r="D158" s="1" t="d">
        <v>2019-10-30T12:11:24.000000217929482550</v>
      </c>
      <c r="E158" s="1" t="d">
        <v>2019-10-30T12:36:46.000000191852450</v>
      </c>
      <c r="F158" t="s">
        <v>486</v>
      </c>
      <c r="G158">
        <v>3</v>
      </c>
      <c r="H158">
        <v>1</v>
      </c>
      <c r="I158">
        <v>1</v>
      </c>
      <c r="J158">
        <v>2</v>
      </c>
      <c r="K158">
        <v>2</v>
      </c>
      <c r="L158">
        <v>4</v>
      </c>
      <c r="M158">
        <v>4</v>
      </c>
      <c r="N158">
        <v>3</v>
      </c>
      <c r="O158">
        <v>3</v>
      </c>
      <c r="P158">
        <v>4</v>
      </c>
      <c r="Q158">
        <v>3</v>
      </c>
      <c r="R158">
        <v>4</v>
      </c>
      <c r="S158">
        <v>3</v>
      </c>
      <c r="T158">
        <v>2</v>
      </c>
      <c r="U158" s="1" t="d">
        <v>2020-03-13T11:19:08.99999974295497200</v>
      </c>
      <c r="V158" s="1" t="d">
        <v>2020-03-13T11:32:46.99999985285103225</v>
      </c>
      <c r="W158" t="s">
        <v>487</v>
      </c>
      <c r="X158">
        <v>4</v>
      </c>
      <c r="Y158">
        <v>1</v>
      </c>
      <c r="Z158">
        <v>1</v>
      </c>
      <c r="AA158">
        <v>1</v>
      </c>
      <c r="AB158">
        <v>1</v>
      </c>
      <c r="AC158">
        <v>3</v>
      </c>
      <c r="AD158">
        <v>3</v>
      </c>
      <c r="AE158">
        <v>2</v>
      </c>
      <c r="AF158">
        <v>2</v>
      </c>
      <c r="AG158">
        <v>2</v>
      </c>
      <c r="AH158">
        <v>3</v>
      </c>
      <c r="AI158">
        <v>4</v>
      </c>
      <c r="AJ158">
        <v>3</v>
      </c>
      <c r="AK158">
        <v>3</v>
      </c>
      <c r="AM158" t="str">
        <f t="shared" si="56"/>
        <v>60</v>
      </c>
      <c r="AN158">
        <f t="shared" si="57"/>
        <v>0</v>
      </c>
      <c r="AO158">
        <f t="shared" si="58"/>
        <v>0</v>
      </c>
      <c r="AP158" s="15">
        <f t="shared" si="59"/>
        <v>75</v>
      </c>
      <c r="AQ158" s="15">
        <f t="shared" si="60"/>
        <v>75</v>
      </c>
      <c r="AR158" s="15">
        <f t="shared" si="61"/>
        <v>25</v>
      </c>
      <c r="AS158" s="15">
        <f t="shared" si="62"/>
        <v>25</v>
      </c>
      <c r="AT158">
        <f t="shared" si="63"/>
        <v>50</v>
      </c>
      <c r="AU158" s="15">
        <f t="shared" si="64"/>
        <v>60</v>
      </c>
      <c r="AV158" s="15">
        <f t="shared" si="65"/>
        <v>40</v>
      </c>
      <c r="AW158">
        <f t="shared" si="66"/>
        <v>40</v>
      </c>
      <c r="AX158">
        <f t="shared" si="67"/>
        <v>75</v>
      </c>
      <c r="BB158" s="14">
        <f t="shared" si="68"/>
        <v>37.998241898499998</v>
      </c>
      <c r="BC158" s="14">
        <f t="shared" si="69"/>
        <v>36.300314773999993</v>
      </c>
      <c r="BE158" s="14">
        <f t="shared" si="70"/>
        <v>41.141445615000002</v>
      </c>
      <c r="BF158" s="14">
        <f t="shared" si="71"/>
        <v>44.622502011499996</v>
      </c>
      <c r="BH158" t="str">
        <f t="shared" si="72"/>
        <v>35</v>
      </c>
      <c r="BI158">
        <f t="shared" si="73"/>
        <v>0</v>
      </c>
      <c r="BJ158">
        <f t="shared" si="74"/>
        <v>0</v>
      </c>
      <c r="BK158" s="15">
        <f t="shared" si="75"/>
        <v>100</v>
      </c>
      <c r="BL158" s="15">
        <f t="shared" si="76"/>
        <v>100</v>
      </c>
      <c r="BM158" s="15">
        <f t="shared" si="77"/>
        <v>50</v>
      </c>
      <c r="BN158" s="15">
        <f t="shared" si="78"/>
        <v>50</v>
      </c>
      <c r="BO158">
        <f t="shared" si="79"/>
        <v>75</v>
      </c>
      <c r="BP158" s="15">
        <f t="shared" si="80"/>
        <v>80</v>
      </c>
      <c r="BQ158" s="15">
        <f t="shared" si="81"/>
        <v>80</v>
      </c>
      <c r="BR158">
        <f t="shared" si="82"/>
        <v>40</v>
      </c>
      <c r="BS158">
        <f t="shared" si="83"/>
        <v>75</v>
      </c>
    </row>
    <row r="159" spans="1:71" x14ac:dyDescent="0.25">
      <c r="A159">
        <v>158</v>
      </c>
      <c r="B159" t="s">
        <v>488</v>
      </c>
      <c r="C159" t="s">
        <v>111</v>
      </c>
      <c r="D159" s="1" t="d">
        <v>2019-10-31T09:21:43.99999993387609425</v>
      </c>
      <c r="E159" s="1" t="d">
        <v>2019-10-31T12:05:48.99999985937029275</v>
      </c>
      <c r="F159" t="s">
        <v>489</v>
      </c>
      <c r="G159">
        <v>4</v>
      </c>
      <c r="H159">
        <v>2</v>
      </c>
      <c r="I159">
        <v>1</v>
      </c>
      <c r="J159">
        <v>3</v>
      </c>
      <c r="K159">
        <v>3</v>
      </c>
      <c r="L159">
        <v>3</v>
      </c>
      <c r="M159">
        <v>4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3</v>
      </c>
      <c r="T159">
        <v>3</v>
      </c>
      <c r="U159" s="1" t="d">
        <v>2020-03-19T08:20:24.99999990686774475</v>
      </c>
      <c r="V159" s="1" t="d">
        <v>2020-03-19T08:46:26.99999980162828950</v>
      </c>
      <c r="W159" t="s">
        <v>490</v>
      </c>
      <c r="X159">
        <v>3</v>
      </c>
      <c r="Y159">
        <v>1</v>
      </c>
      <c r="Z159">
        <v>2</v>
      </c>
      <c r="AA159">
        <v>3</v>
      </c>
      <c r="AB159">
        <v>3</v>
      </c>
      <c r="AC159">
        <v>3</v>
      </c>
      <c r="AD159">
        <v>4</v>
      </c>
      <c r="AE159">
        <v>3</v>
      </c>
      <c r="AF159">
        <v>3</v>
      </c>
      <c r="AG159">
        <v>2</v>
      </c>
      <c r="AH159">
        <v>3</v>
      </c>
      <c r="AI159">
        <v>4</v>
      </c>
      <c r="AJ159">
        <v>2</v>
      </c>
      <c r="AK159">
        <v>2</v>
      </c>
      <c r="AM159" t="str">
        <f t="shared" si="56"/>
        <v>35</v>
      </c>
      <c r="AN159">
        <f t="shared" si="57"/>
        <v>50</v>
      </c>
      <c r="AO159">
        <f t="shared" si="58"/>
        <v>0</v>
      </c>
      <c r="AP159" s="15">
        <f t="shared" si="59"/>
        <v>50</v>
      </c>
      <c r="AQ159" s="15">
        <f t="shared" si="60"/>
        <v>50</v>
      </c>
      <c r="AR159" s="15">
        <f t="shared" si="61"/>
        <v>50</v>
      </c>
      <c r="AS159" s="15">
        <f t="shared" si="62"/>
        <v>25</v>
      </c>
      <c r="AT159">
        <f t="shared" si="63"/>
        <v>75</v>
      </c>
      <c r="AU159" s="15">
        <f t="shared" si="64"/>
        <v>80</v>
      </c>
      <c r="AV159" s="15">
        <f t="shared" si="65"/>
        <v>80</v>
      </c>
      <c r="AW159">
        <f t="shared" si="66"/>
        <v>20</v>
      </c>
      <c r="AX159">
        <f t="shared" si="67"/>
        <v>25</v>
      </c>
      <c r="BB159" s="14">
        <f t="shared" si="68"/>
        <v>38.745535384999997</v>
      </c>
      <c r="BC159" s="14">
        <f t="shared" si="69"/>
        <v>34.900797288</v>
      </c>
      <c r="BE159" s="14">
        <f t="shared" si="70"/>
        <v>37.852551307500001</v>
      </c>
      <c r="BF159" s="14">
        <f t="shared" si="71"/>
        <v>41.911338682999997</v>
      </c>
      <c r="BH159" t="str">
        <f t="shared" si="72"/>
        <v>60</v>
      </c>
      <c r="BI159">
        <f t="shared" si="73"/>
        <v>0</v>
      </c>
      <c r="BJ159">
        <f t="shared" si="74"/>
        <v>50</v>
      </c>
      <c r="BK159" s="15">
        <f t="shared" si="75"/>
        <v>50</v>
      </c>
      <c r="BL159" s="15">
        <f t="shared" si="76"/>
        <v>50</v>
      </c>
      <c r="BM159" s="15">
        <f t="shared" si="77"/>
        <v>50</v>
      </c>
      <c r="BN159" s="15">
        <f t="shared" si="78"/>
        <v>25</v>
      </c>
      <c r="BO159">
        <f t="shared" si="79"/>
        <v>50</v>
      </c>
      <c r="BP159" s="15">
        <f t="shared" si="80"/>
        <v>60</v>
      </c>
      <c r="BQ159" s="15">
        <f t="shared" si="81"/>
        <v>80</v>
      </c>
      <c r="BR159">
        <f t="shared" si="82"/>
        <v>40</v>
      </c>
      <c r="BS159">
        <f t="shared" si="83"/>
        <v>75</v>
      </c>
    </row>
    <row r="160" spans="1:71" x14ac:dyDescent="0.25">
      <c r="A160">
        <v>159</v>
      </c>
      <c r="B160" t="s">
        <v>491</v>
      </c>
      <c r="C160" t="s">
        <v>111</v>
      </c>
      <c r="D160" s="1" t="d">
        <v>2019-12-05T07:25:53.99999970104545275</v>
      </c>
      <c r="E160" s="1" t="d">
        <v>2019-12-05T08:08:58.9999998500570625</v>
      </c>
      <c r="F160" t="s">
        <v>492</v>
      </c>
      <c r="G160">
        <v>2</v>
      </c>
      <c r="H160">
        <v>2</v>
      </c>
      <c r="I160">
        <v>3</v>
      </c>
      <c r="J160">
        <v>4</v>
      </c>
      <c r="K160">
        <v>4</v>
      </c>
      <c r="L160">
        <v>4</v>
      </c>
      <c r="M160">
        <v>2</v>
      </c>
      <c r="N160">
        <v>3</v>
      </c>
      <c r="O160">
        <v>2</v>
      </c>
      <c r="P160">
        <v>2</v>
      </c>
      <c r="Q160">
        <v>5</v>
      </c>
      <c r="R160">
        <v>4</v>
      </c>
      <c r="S160">
        <v>4</v>
      </c>
      <c r="T160">
        <v>3</v>
      </c>
      <c r="U160" s="1" t="d">
        <v>2020-04-02T10:41:59.000000227242708075</v>
      </c>
      <c r="V160" s="1" t="d">
        <v>2020-04-02T11:20:53.00000016577542150</v>
      </c>
      <c r="W160" t="s">
        <v>493</v>
      </c>
      <c r="X160">
        <v>2</v>
      </c>
      <c r="Y160">
        <v>2</v>
      </c>
      <c r="Z160">
        <v>3</v>
      </c>
      <c r="AA160">
        <v>4</v>
      </c>
      <c r="AB160">
        <v>3</v>
      </c>
      <c r="AC160">
        <v>4</v>
      </c>
      <c r="AD160">
        <v>3</v>
      </c>
      <c r="AE160">
        <v>4</v>
      </c>
      <c r="AF160">
        <v>3</v>
      </c>
      <c r="AG160">
        <v>2</v>
      </c>
      <c r="AH160">
        <v>3</v>
      </c>
      <c r="AI160">
        <v>4</v>
      </c>
      <c r="AJ160">
        <v>3</v>
      </c>
      <c r="AK160">
        <v>2</v>
      </c>
      <c r="AM160" t="str">
        <f t="shared" si="56"/>
        <v>85</v>
      </c>
      <c r="AN160">
        <f t="shared" si="57"/>
        <v>50</v>
      </c>
      <c r="AO160">
        <f t="shared" si="58"/>
        <v>100</v>
      </c>
      <c r="AP160" s="15">
        <f t="shared" si="59"/>
        <v>25</v>
      </c>
      <c r="AQ160" s="15">
        <f t="shared" si="60"/>
        <v>25</v>
      </c>
      <c r="AR160" s="15">
        <f t="shared" si="61"/>
        <v>25</v>
      </c>
      <c r="AS160" s="15">
        <f t="shared" si="62"/>
        <v>75</v>
      </c>
      <c r="AT160">
        <f t="shared" si="63"/>
        <v>50</v>
      </c>
      <c r="AU160" s="15">
        <f t="shared" si="64"/>
        <v>80</v>
      </c>
      <c r="AV160" s="15">
        <f t="shared" si="65"/>
        <v>80</v>
      </c>
      <c r="AW160">
        <f t="shared" si="66"/>
        <v>80</v>
      </c>
      <c r="AX160">
        <f t="shared" si="67"/>
        <v>75</v>
      </c>
      <c r="BB160" s="14">
        <f t="shared" si="68"/>
        <v>40.001345119999996</v>
      </c>
      <c r="BC160" s="14">
        <f t="shared" si="69"/>
        <v>48.820085535999993</v>
      </c>
      <c r="BE160" s="14">
        <f t="shared" si="70"/>
        <v>42.295282604999997</v>
      </c>
      <c r="BF160" s="14">
        <f t="shared" si="71"/>
        <v>38.627929400499994</v>
      </c>
      <c r="BH160" t="str">
        <f t="shared" si="72"/>
        <v>85</v>
      </c>
      <c r="BI160">
        <f t="shared" si="73"/>
        <v>50</v>
      </c>
      <c r="BJ160">
        <f t="shared" si="74"/>
        <v>100</v>
      </c>
      <c r="BK160" s="15">
        <f t="shared" si="75"/>
        <v>25</v>
      </c>
      <c r="BL160" s="15">
        <f t="shared" si="76"/>
        <v>50</v>
      </c>
      <c r="BM160" s="15">
        <f t="shared" si="77"/>
        <v>25</v>
      </c>
      <c r="BN160" s="15">
        <f t="shared" si="78"/>
        <v>50</v>
      </c>
      <c r="BO160">
        <f t="shared" si="79"/>
        <v>25</v>
      </c>
      <c r="BP160" s="15">
        <f t="shared" si="80"/>
        <v>60</v>
      </c>
      <c r="BQ160" s="15">
        <f t="shared" si="81"/>
        <v>80</v>
      </c>
      <c r="BR160">
        <f t="shared" si="82"/>
        <v>40</v>
      </c>
      <c r="BS160">
        <f t="shared" si="83"/>
        <v>75</v>
      </c>
    </row>
    <row r="161" spans="1:71" x14ac:dyDescent="0.25">
      <c r="A161">
        <v>160</v>
      </c>
      <c r="B161" t="s">
        <v>494</v>
      </c>
      <c r="C161" t="s">
        <v>111</v>
      </c>
      <c r="D161" s="1" t="d">
        <v>2019-12-04T17:53:47.99999979324638700</v>
      </c>
      <c r="E161" s="1" t="d">
        <v>2019-12-04T18:25:23.00000020768493400</v>
      </c>
      <c r="F161" t="s">
        <v>495</v>
      </c>
      <c r="G161">
        <v>3</v>
      </c>
      <c r="H161">
        <v>1</v>
      </c>
      <c r="I161">
        <v>1</v>
      </c>
      <c r="J161">
        <v>2</v>
      </c>
      <c r="K161">
        <v>2</v>
      </c>
      <c r="L161">
        <v>5</v>
      </c>
      <c r="M161">
        <v>3</v>
      </c>
      <c r="N161">
        <v>4</v>
      </c>
      <c r="O161">
        <v>3</v>
      </c>
      <c r="P161">
        <v>1</v>
      </c>
      <c r="Q161">
        <v>5</v>
      </c>
      <c r="R161">
        <v>3</v>
      </c>
      <c r="S161">
        <v>2</v>
      </c>
      <c r="T161">
        <v>4</v>
      </c>
      <c r="AM161" t="str">
        <f t="shared" si="56"/>
        <v>60</v>
      </c>
      <c r="AN161">
        <f t="shared" si="57"/>
        <v>0</v>
      </c>
      <c r="AO161">
        <f t="shared" si="58"/>
        <v>0</v>
      </c>
      <c r="AP161" s="15">
        <f t="shared" si="59"/>
        <v>75</v>
      </c>
      <c r="AQ161" s="15">
        <f t="shared" si="60"/>
        <v>75</v>
      </c>
      <c r="AR161" s="15">
        <f t="shared" si="61"/>
        <v>0</v>
      </c>
      <c r="AS161" s="15">
        <f t="shared" si="62"/>
        <v>50</v>
      </c>
      <c r="AT161">
        <f t="shared" si="63"/>
        <v>25</v>
      </c>
      <c r="AU161" s="15">
        <f t="shared" si="64"/>
        <v>60</v>
      </c>
      <c r="AV161" s="15">
        <f t="shared" si="65"/>
        <v>100</v>
      </c>
      <c r="AW161">
        <f t="shared" si="66"/>
        <v>80</v>
      </c>
      <c r="AX161">
        <f t="shared" si="67"/>
        <v>50</v>
      </c>
      <c r="BB161" s="14">
        <f t="shared" si="68"/>
        <v>34.830502022000005</v>
      </c>
      <c r="BC161" s="14">
        <f t="shared" si="69"/>
        <v>43.190703436999996</v>
      </c>
      <c r="BK161" s="15"/>
      <c r="BL161" s="15"/>
      <c r="BM161" s="15"/>
      <c r="BN161" s="15"/>
      <c r="BP161" s="15"/>
      <c r="BQ161" s="15"/>
    </row>
    <row r="162" spans="1:71" x14ac:dyDescent="0.25">
      <c r="A162">
        <v>161</v>
      </c>
      <c r="B162" t="s">
        <v>496</v>
      </c>
      <c r="C162" t="s">
        <v>111</v>
      </c>
      <c r="D162" s="1" t="d">
        <v>2019-11-07T15:00:36.99999984819442050</v>
      </c>
      <c r="E162" s="1" t="d">
        <v>2019-11-07T15:40:08.00000026356428850</v>
      </c>
      <c r="F162" t="s">
        <v>497</v>
      </c>
      <c r="G162">
        <v>4</v>
      </c>
      <c r="H162">
        <v>2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2</v>
      </c>
      <c r="O162">
        <v>3</v>
      </c>
      <c r="P162">
        <v>3</v>
      </c>
      <c r="Q162">
        <v>3</v>
      </c>
      <c r="R162">
        <v>1</v>
      </c>
      <c r="S162">
        <v>2</v>
      </c>
      <c r="T162">
        <v>4</v>
      </c>
      <c r="U162" s="1" t="d">
        <v>2020-03-12T11:32:54.00000023189932050</v>
      </c>
      <c r="V162" s="1" t="d">
        <v>2020-03-12T12:31:02.00000024400651375</v>
      </c>
      <c r="W162" t="s">
        <v>498</v>
      </c>
      <c r="X162">
        <v>3</v>
      </c>
      <c r="Y162">
        <v>1</v>
      </c>
      <c r="Z162">
        <v>1</v>
      </c>
      <c r="AA162">
        <v>3</v>
      </c>
      <c r="AB162">
        <v>1</v>
      </c>
      <c r="AC162">
        <v>1</v>
      </c>
      <c r="AD162">
        <v>1</v>
      </c>
      <c r="AE162">
        <v>2</v>
      </c>
      <c r="AF162">
        <v>2</v>
      </c>
      <c r="AG162">
        <v>4</v>
      </c>
      <c r="AH162">
        <v>2</v>
      </c>
      <c r="AI162">
        <v>1</v>
      </c>
      <c r="AJ162">
        <v>2</v>
      </c>
      <c r="AK162">
        <v>4</v>
      </c>
      <c r="AM162" t="str">
        <f t="shared" si="56"/>
        <v>35</v>
      </c>
      <c r="AN162">
        <f t="shared" si="57"/>
        <v>50</v>
      </c>
      <c r="AO162">
        <f t="shared" si="58"/>
        <v>0</v>
      </c>
      <c r="AP162" s="15">
        <f t="shared" si="59"/>
        <v>100</v>
      </c>
      <c r="AQ162" s="15">
        <f t="shared" si="60"/>
        <v>100</v>
      </c>
      <c r="AR162" s="15">
        <f t="shared" si="61"/>
        <v>100</v>
      </c>
      <c r="AS162" s="15">
        <f t="shared" si="62"/>
        <v>100</v>
      </c>
      <c r="AT162">
        <f t="shared" si="63"/>
        <v>75</v>
      </c>
      <c r="AU162" s="15">
        <f t="shared" si="64"/>
        <v>60</v>
      </c>
      <c r="AV162" s="15">
        <f t="shared" si="65"/>
        <v>60</v>
      </c>
      <c r="AW162">
        <f t="shared" si="66"/>
        <v>40</v>
      </c>
      <c r="AX162">
        <f t="shared" si="67"/>
        <v>0</v>
      </c>
      <c r="BB162" s="14">
        <f t="shared" si="68"/>
        <v>39.8044182605</v>
      </c>
      <c r="BC162" s="14">
        <f t="shared" si="69"/>
        <v>41.505771855999996</v>
      </c>
      <c r="BE162" s="14">
        <f t="shared" si="70"/>
        <v>34.542266886</v>
      </c>
      <c r="BF162" s="14">
        <f t="shared" si="71"/>
        <v>42.328530568999994</v>
      </c>
      <c r="BH162" t="str">
        <f t="shared" si="72"/>
        <v>60</v>
      </c>
      <c r="BI162">
        <f t="shared" si="73"/>
        <v>0</v>
      </c>
      <c r="BJ162">
        <f t="shared" si="74"/>
        <v>0</v>
      </c>
      <c r="BK162" s="15">
        <f t="shared" si="75"/>
        <v>50</v>
      </c>
      <c r="BL162" s="15">
        <f t="shared" si="76"/>
        <v>100</v>
      </c>
      <c r="BM162" s="15">
        <f t="shared" si="77"/>
        <v>100</v>
      </c>
      <c r="BN162" s="15">
        <f t="shared" si="78"/>
        <v>100</v>
      </c>
      <c r="BO162">
        <f t="shared" si="79"/>
        <v>75</v>
      </c>
      <c r="BP162" s="15">
        <f t="shared" si="80"/>
        <v>80</v>
      </c>
      <c r="BQ162" s="15">
        <f t="shared" si="81"/>
        <v>40</v>
      </c>
      <c r="BR162">
        <f t="shared" si="82"/>
        <v>20</v>
      </c>
      <c r="BS162">
        <f t="shared" si="83"/>
        <v>0</v>
      </c>
    </row>
    <row r="163" spans="1:71" x14ac:dyDescent="0.25">
      <c r="A163">
        <v>162</v>
      </c>
      <c r="B163" t="s">
        <v>499</v>
      </c>
      <c r="C163" t="s">
        <v>111</v>
      </c>
      <c r="D163" s="1" t="d">
        <v>2019-11-27T14:53:57.00000001117587225</v>
      </c>
      <c r="E163" s="1" t="d">
        <v>2019-11-27T15:30:13.99999971035867625</v>
      </c>
      <c r="F163" t="s">
        <v>500</v>
      </c>
      <c r="G163">
        <v>3</v>
      </c>
      <c r="H163">
        <v>2</v>
      </c>
      <c r="I163">
        <v>2</v>
      </c>
      <c r="J163">
        <v>3</v>
      </c>
      <c r="K163">
        <v>3</v>
      </c>
      <c r="L163">
        <v>3</v>
      </c>
      <c r="M163">
        <v>3</v>
      </c>
      <c r="N163">
        <v>4</v>
      </c>
      <c r="O163">
        <v>2</v>
      </c>
      <c r="P163">
        <v>3</v>
      </c>
      <c r="Q163">
        <v>2</v>
      </c>
      <c r="R163">
        <v>3</v>
      </c>
      <c r="S163">
        <v>3</v>
      </c>
      <c r="T163">
        <v>3</v>
      </c>
      <c r="U163" s="1" t="d">
        <v>2020-04-07T17:54:30.00000018160789875</v>
      </c>
      <c r="V163" s="1" t="d">
        <v>2020-04-07T18:26:25.00000024214387175</v>
      </c>
      <c r="W163" t="s">
        <v>501</v>
      </c>
      <c r="X163">
        <v>3</v>
      </c>
      <c r="Y163">
        <v>3</v>
      </c>
      <c r="Z163">
        <v>2</v>
      </c>
      <c r="AA163">
        <v>4</v>
      </c>
      <c r="AB163">
        <v>4</v>
      </c>
      <c r="AC163">
        <v>4</v>
      </c>
      <c r="AD163">
        <v>1</v>
      </c>
      <c r="AE163">
        <v>4</v>
      </c>
      <c r="AF163">
        <v>4</v>
      </c>
      <c r="AG163">
        <v>4</v>
      </c>
      <c r="AH163">
        <v>2</v>
      </c>
      <c r="AI163">
        <v>4</v>
      </c>
      <c r="AJ163">
        <v>4</v>
      </c>
      <c r="AK163">
        <v>3</v>
      </c>
      <c r="AM163" t="str">
        <f t="shared" si="56"/>
        <v>60</v>
      </c>
      <c r="AN163">
        <f t="shared" si="57"/>
        <v>50</v>
      </c>
      <c r="AO163">
        <f t="shared" si="58"/>
        <v>50</v>
      </c>
      <c r="AP163" s="15">
        <f t="shared" si="59"/>
        <v>50</v>
      </c>
      <c r="AQ163" s="15">
        <f t="shared" si="60"/>
        <v>50</v>
      </c>
      <c r="AR163" s="15">
        <f t="shared" si="61"/>
        <v>50</v>
      </c>
      <c r="AS163" s="15">
        <f t="shared" si="62"/>
        <v>50</v>
      </c>
      <c r="AT163">
        <f t="shared" si="63"/>
        <v>25</v>
      </c>
      <c r="AU163" s="15">
        <f t="shared" si="64"/>
        <v>80</v>
      </c>
      <c r="AV163" s="15">
        <f t="shared" si="65"/>
        <v>60</v>
      </c>
      <c r="AW163">
        <f t="shared" si="66"/>
        <v>20</v>
      </c>
      <c r="AX163">
        <f t="shared" si="67"/>
        <v>50</v>
      </c>
      <c r="BB163" s="14">
        <f t="shared" si="68"/>
        <v>36.454045198000003</v>
      </c>
      <c r="BC163" s="14">
        <f t="shared" si="69"/>
        <v>37.865212901</v>
      </c>
      <c r="BE163" s="14">
        <f t="shared" si="70"/>
        <v>37.099793393500001</v>
      </c>
      <c r="BF163" s="14">
        <f t="shared" si="71"/>
        <v>35.161842444499996</v>
      </c>
      <c r="BH163" t="str">
        <f t="shared" si="72"/>
        <v>60</v>
      </c>
      <c r="BI163">
        <f t="shared" si="73"/>
        <v>100</v>
      </c>
      <c r="BJ163">
        <f t="shared" si="74"/>
        <v>50</v>
      </c>
      <c r="BK163" s="15">
        <f t="shared" si="75"/>
        <v>25</v>
      </c>
      <c r="BL163" s="15">
        <f t="shared" si="76"/>
        <v>25</v>
      </c>
      <c r="BM163" s="15">
        <f t="shared" si="77"/>
        <v>25</v>
      </c>
      <c r="BN163" s="15">
        <f t="shared" si="78"/>
        <v>100</v>
      </c>
      <c r="BO163">
        <f t="shared" si="79"/>
        <v>25</v>
      </c>
      <c r="BP163" s="15">
        <f t="shared" si="80"/>
        <v>40</v>
      </c>
      <c r="BQ163" s="15">
        <f t="shared" si="81"/>
        <v>40</v>
      </c>
      <c r="BR163">
        <f t="shared" si="82"/>
        <v>20</v>
      </c>
      <c r="BS163">
        <f t="shared" si="83"/>
        <v>75</v>
      </c>
    </row>
    <row r="164" spans="1:71" x14ac:dyDescent="0.25">
      <c r="A164">
        <v>163</v>
      </c>
      <c r="B164" t="s">
        <v>502</v>
      </c>
      <c r="C164" t="s">
        <v>111</v>
      </c>
      <c r="D164" s="1" t="d">
        <v>2019-12-15T19:49:44.99999977648258200</v>
      </c>
      <c r="E164" s="1" t="d">
        <v>2019-12-15T20:57:23.99999999441206725</v>
      </c>
      <c r="F164" t="s">
        <v>503</v>
      </c>
      <c r="G164">
        <v>1</v>
      </c>
      <c r="H164">
        <v>3</v>
      </c>
      <c r="I164">
        <v>3</v>
      </c>
      <c r="J164">
        <v>1</v>
      </c>
      <c r="K164">
        <v>1</v>
      </c>
      <c r="L164">
        <v>2</v>
      </c>
      <c r="M164">
        <v>2</v>
      </c>
      <c r="N164">
        <v>4</v>
      </c>
      <c r="O164">
        <v>2</v>
      </c>
      <c r="P164">
        <v>1</v>
      </c>
      <c r="Q164">
        <v>5</v>
      </c>
      <c r="R164">
        <v>3</v>
      </c>
      <c r="S164">
        <v>3</v>
      </c>
      <c r="T164">
        <v>4</v>
      </c>
      <c r="AM164" t="str">
        <f t="shared" si="56"/>
        <v>100</v>
      </c>
      <c r="AN164">
        <f t="shared" si="57"/>
        <v>100</v>
      </c>
      <c r="AO164">
        <f t="shared" si="58"/>
        <v>100</v>
      </c>
      <c r="AP164" s="15">
        <f t="shared" si="59"/>
        <v>100</v>
      </c>
      <c r="AQ164" s="15">
        <f t="shared" si="60"/>
        <v>100</v>
      </c>
      <c r="AR164" s="15">
        <f t="shared" si="61"/>
        <v>75</v>
      </c>
      <c r="AS164" s="15">
        <f t="shared" si="62"/>
        <v>75</v>
      </c>
      <c r="AT164">
        <f t="shared" si="63"/>
        <v>25</v>
      </c>
      <c r="AU164" s="15">
        <f t="shared" si="64"/>
        <v>80</v>
      </c>
      <c r="AV164" s="15">
        <f t="shared" si="65"/>
        <v>100</v>
      </c>
      <c r="AW164">
        <f t="shared" si="66"/>
        <v>80</v>
      </c>
      <c r="AX164">
        <f t="shared" si="67"/>
        <v>50</v>
      </c>
      <c r="BB164" s="14">
        <f t="shared" si="68"/>
        <v>49.622080531000009</v>
      </c>
      <c r="BC164" s="14">
        <f t="shared" si="69"/>
        <v>48.912280430499997</v>
      </c>
      <c r="BK164" s="15"/>
      <c r="BL164" s="15"/>
      <c r="BM164" s="15"/>
      <c r="BN164" s="15"/>
      <c r="BP164" s="15"/>
      <c r="BQ164" s="15"/>
    </row>
    <row r="165" spans="1:71" x14ac:dyDescent="0.25">
      <c r="A165">
        <v>164</v>
      </c>
      <c r="B165" t="s">
        <v>504</v>
      </c>
      <c r="C165" t="s">
        <v>111</v>
      </c>
      <c r="D165" s="1" t="d">
        <v>2019-12-18T10:45:05.99999993573874300</v>
      </c>
      <c r="E165" s="1" t="d">
        <v>2019-12-18T11:23:35.99999992176890100</v>
      </c>
      <c r="F165" t="s">
        <v>505</v>
      </c>
      <c r="G165">
        <v>2</v>
      </c>
      <c r="H165">
        <v>3</v>
      </c>
      <c r="I165">
        <v>3</v>
      </c>
      <c r="J165">
        <v>4</v>
      </c>
      <c r="K165">
        <v>5</v>
      </c>
      <c r="L165">
        <v>5</v>
      </c>
      <c r="M165">
        <v>2</v>
      </c>
      <c r="N165">
        <v>5</v>
      </c>
      <c r="O165">
        <v>2</v>
      </c>
      <c r="P165">
        <v>1</v>
      </c>
      <c r="Q165">
        <v>4</v>
      </c>
      <c r="R165">
        <v>5</v>
      </c>
      <c r="S165">
        <v>1</v>
      </c>
      <c r="T165">
        <v>1</v>
      </c>
      <c r="U165" s="1" t="d">
        <v>2020-04-20T19:34:19.9999997997656475</v>
      </c>
      <c r="V165" s="1" t="d">
        <v>2020-04-20T20:13:49.99999998137354625</v>
      </c>
      <c r="W165" t="s">
        <v>506</v>
      </c>
      <c r="X165">
        <v>3</v>
      </c>
      <c r="Y165">
        <v>3</v>
      </c>
      <c r="Z165">
        <v>2</v>
      </c>
      <c r="AA165">
        <v>4</v>
      </c>
      <c r="AB165">
        <v>5</v>
      </c>
      <c r="AC165">
        <v>4</v>
      </c>
      <c r="AD165">
        <v>2</v>
      </c>
      <c r="AE165">
        <v>5</v>
      </c>
      <c r="AF165">
        <v>2</v>
      </c>
      <c r="AG165">
        <v>3</v>
      </c>
      <c r="AH165">
        <v>4</v>
      </c>
      <c r="AI165">
        <v>4</v>
      </c>
      <c r="AJ165">
        <v>2</v>
      </c>
      <c r="AK165">
        <v>2</v>
      </c>
      <c r="AM165" t="str">
        <f t="shared" si="56"/>
        <v>85</v>
      </c>
      <c r="AN165">
        <f t="shared" si="57"/>
        <v>100</v>
      </c>
      <c r="AO165">
        <f t="shared" si="58"/>
        <v>100</v>
      </c>
      <c r="AP165" s="15">
        <f t="shared" si="59"/>
        <v>25</v>
      </c>
      <c r="AQ165" s="15">
        <f t="shared" si="60"/>
        <v>0</v>
      </c>
      <c r="AR165" s="15">
        <f t="shared" si="61"/>
        <v>0</v>
      </c>
      <c r="AS165" s="15">
        <f t="shared" si="62"/>
        <v>75</v>
      </c>
      <c r="AT165">
        <f t="shared" si="63"/>
        <v>0</v>
      </c>
      <c r="AU165" s="15">
        <f t="shared" si="64"/>
        <v>80</v>
      </c>
      <c r="AV165" s="15">
        <f t="shared" si="65"/>
        <v>100</v>
      </c>
      <c r="AW165">
        <f t="shared" si="66"/>
        <v>60</v>
      </c>
      <c r="AX165">
        <f t="shared" si="67"/>
        <v>100</v>
      </c>
      <c r="BB165" s="14">
        <f t="shared" si="68"/>
        <v>37.923772559499994</v>
      </c>
      <c r="BC165" s="14">
        <f t="shared" si="69"/>
        <v>46.828175584500002</v>
      </c>
      <c r="BE165" s="14">
        <f t="shared" si="70"/>
        <v>29.471699430499996</v>
      </c>
      <c r="BF165" s="14">
        <f t="shared" si="71"/>
        <v>46.105661892999997</v>
      </c>
      <c r="BH165" t="str">
        <f t="shared" si="72"/>
        <v>60</v>
      </c>
      <c r="BI165">
        <f t="shared" si="73"/>
        <v>100</v>
      </c>
      <c r="BJ165">
        <f t="shared" si="74"/>
        <v>50</v>
      </c>
      <c r="BK165" s="15">
        <f t="shared" si="75"/>
        <v>25</v>
      </c>
      <c r="BL165" s="15">
        <f t="shared" si="76"/>
        <v>0</v>
      </c>
      <c r="BM165" s="15">
        <f t="shared" si="77"/>
        <v>25</v>
      </c>
      <c r="BN165" s="15">
        <f t="shared" si="78"/>
        <v>75</v>
      </c>
      <c r="BO165">
        <f t="shared" si="79"/>
        <v>0</v>
      </c>
      <c r="BP165" s="15">
        <f t="shared" si="80"/>
        <v>80</v>
      </c>
      <c r="BQ165" s="15">
        <f t="shared" si="81"/>
        <v>60</v>
      </c>
      <c r="BR165">
        <f t="shared" si="82"/>
        <v>60</v>
      </c>
      <c r="BS165">
        <f t="shared" si="83"/>
        <v>75</v>
      </c>
    </row>
    <row r="166" spans="1:71" x14ac:dyDescent="0.25">
      <c r="A166">
        <v>165</v>
      </c>
      <c r="B166" t="s">
        <v>507</v>
      </c>
      <c r="C166" t="s">
        <v>111</v>
      </c>
      <c r="D166" s="1" t="d">
        <v>2019-12-14T12:12:04.999999743886291650</v>
      </c>
      <c r="E166" s="1" t="d">
        <v>2019-12-14T12:46:16.99999976903200050</v>
      </c>
      <c r="F166" t="s">
        <v>508</v>
      </c>
      <c r="G166">
        <v>3</v>
      </c>
      <c r="H166">
        <v>2</v>
      </c>
      <c r="I166">
        <v>2</v>
      </c>
      <c r="J166">
        <v>3</v>
      </c>
      <c r="K166">
        <v>4</v>
      </c>
      <c r="L166">
        <v>4</v>
      </c>
      <c r="M166">
        <v>3</v>
      </c>
      <c r="N166">
        <v>3</v>
      </c>
      <c r="O166">
        <v>3</v>
      </c>
      <c r="P166">
        <v>2</v>
      </c>
      <c r="Q166">
        <v>3</v>
      </c>
      <c r="R166">
        <v>3</v>
      </c>
      <c r="S166">
        <v>2</v>
      </c>
      <c r="T166">
        <v>4</v>
      </c>
      <c r="U166" s="1" t="d">
        <v>2020-04-17T11:49:32.999999905005097350</v>
      </c>
      <c r="V166" s="1" t="d">
        <v>2020-04-17T12:20:21.00000001955777475</v>
      </c>
      <c r="W166" t="s">
        <v>509</v>
      </c>
      <c r="X166">
        <v>3</v>
      </c>
      <c r="Y166">
        <v>2</v>
      </c>
      <c r="Z166">
        <v>2</v>
      </c>
      <c r="AA166">
        <v>3</v>
      </c>
      <c r="AB166">
        <v>3</v>
      </c>
      <c r="AC166">
        <v>3</v>
      </c>
      <c r="AD166">
        <v>3</v>
      </c>
      <c r="AE166">
        <v>3</v>
      </c>
      <c r="AF166">
        <v>2</v>
      </c>
      <c r="AG166">
        <v>2</v>
      </c>
      <c r="AH166">
        <v>4</v>
      </c>
      <c r="AI166">
        <v>4</v>
      </c>
      <c r="AJ166">
        <v>2</v>
      </c>
      <c r="AK166">
        <v>3</v>
      </c>
      <c r="AM166" t="str">
        <f t="shared" si="56"/>
        <v>60</v>
      </c>
      <c r="AN166">
        <f t="shared" si="57"/>
        <v>50</v>
      </c>
      <c r="AO166">
        <f t="shared" si="58"/>
        <v>50</v>
      </c>
      <c r="AP166" s="15">
        <f t="shared" si="59"/>
        <v>50</v>
      </c>
      <c r="AQ166" s="15">
        <f t="shared" si="60"/>
        <v>25</v>
      </c>
      <c r="AR166" s="15">
        <f t="shared" si="61"/>
        <v>25</v>
      </c>
      <c r="AS166" s="15">
        <f t="shared" si="62"/>
        <v>50</v>
      </c>
      <c r="AT166">
        <f t="shared" si="63"/>
        <v>50</v>
      </c>
      <c r="AU166" s="15">
        <f t="shared" si="64"/>
        <v>60</v>
      </c>
      <c r="AV166" s="15">
        <f t="shared" si="65"/>
        <v>80</v>
      </c>
      <c r="AW166">
        <f t="shared" si="66"/>
        <v>40</v>
      </c>
      <c r="AX166">
        <f t="shared" si="67"/>
        <v>50</v>
      </c>
      <c r="BB166" s="14">
        <f t="shared" si="68"/>
        <v>39.769889594999995</v>
      </c>
      <c r="BC166" s="14">
        <f t="shared" si="69"/>
        <v>36.893032532999996</v>
      </c>
      <c r="BE166" s="14">
        <f t="shared" si="70"/>
        <v>38.383543172499998</v>
      </c>
      <c r="BF166" s="14">
        <f t="shared" si="71"/>
        <v>47.333963027499998</v>
      </c>
      <c r="BH166" t="str">
        <f t="shared" si="72"/>
        <v>60</v>
      </c>
      <c r="BI166">
        <f t="shared" si="73"/>
        <v>50</v>
      </c>
      <c r="BJ166">
        <f t="shared" si="74"/>
        <v>50</v>
      </c>
      <c r="BK166" s="15">
        <f t="shared" si="75"/>
        <v>50</v>
      </c>
      <c r="BL166" s="15">
        <f t="shared" si="76"/>
        <v>50</v>
      </c>
      <c r="BM166" s="15">
        <f t="shared" si="77"/>
        <v>50</v>
      </c>
      <c r="BN166" s="15">
        <f t="shared" si="78"/>
        <v>50</v>
      </c>
      <c r="BO166">
        <f t="shared" si="79"/>
        <v>50</v>
      </c>
      <c r="BP166" s="15">
        <f t="shared" si="80"/>
        <v>80</v>
      </c>
      <c r="BQ166" s="15">
        <f t="shared" si="81"/>
        <v>80</v>
      </c>
      <c r="BR166">
        <f t="shared" si="82"/>
        <v>60</v>
      </c>
      <c r="BS166">
        <f t="shared" si="83"/>
        <v>75</v>
      </c>
    </row>
    <row r="167" spans="1:71" x14ac:dyDescent="0.25">
      <c r="A167">
        <v>166</v>
      </c>
      <c r="B167" t="s">
        <v>510</v>
      </c>
      <c r="C167" t="s">
        <v>111</v>
      </c>
      <c r="D167" s="1" t="d">
        <v>2020-01-16T19:58:40.99999997299164375</v>
      </c>
      <c r="E167" s="1" t="d">
        <v>2020-01-16T20:16:41.99999995529651775</v>
      </c>
      <c r="F167" t="s">
        <v>511</v>
      </c>
      <c r="G167">
        <v>3</v>
      </c>
      <c r="H167">
        <v>2</v>
      </c>
      <c r="I167">
        <v>2</v>
      </c>
      <c r="J167">
        <v>4</v>
      </c>
      <c r="K167">
        <v>4</v>
      </c>
      <c r="L167">
        <v>5</v>
      </c>
      <c r="M167">
        <v>5</v>
      </c>
      <c r="N167">
        <v>3</v>
      </c>
      <c r="O167">
        <v>3</v>
      </c>
      <c r="P167">
        <v>2</v>
      </c>
      <c r="Q167">
        <v>3</v>
      </c>
      <c r="R167">
        <v>4</v>
      </c>
      <c r="S167">
        <v>3</v>
      </c>
      <c r="T167">
        <v>3</v>
      </c>
      <c r="U167" s="1" t="d">
        <v>2020-05-18T23:05:58.99999989196658175</v>
      </c>
      <c r="V167" s="1" t="d">
        <v>2020-05-18T23:18:44.00000018533318950</v>
      </c>
      <c r="W167" t="s">
        <v>512</v>
      </c>
      <c r="X167">
        <v>2</v>
      </c>
      <c r="Y167">
        <v>1</v>
      </c>
      <c r="Z167">
        <v>2</v>
      </c>
      <c r="AA167">
        <v>3</v>
      </c>
      <c r="AB167">
        <v>3</v>
      </c>
      <c r="AC167">
        <v>4</v>
      </c>
      <c r="AD167">
        <v>4</v>
      </c>
      <c r="AE167">
        <v>3</v>
      </c>
      <c r="AF167">
        <v>3</v>
      </c>
      <c r="AG167">
        <v>3</v>
      </c>
      <c r="AH167">
        <v>4</v>
      </c>
      <c r="AI167">
        <v>4</v>
      </c>
      <c r="AJ167">
        <v>2</v>
      </c>
      <c r="AK167">
        <v>2</v>
      </c>
      <c r="AM167" t="str">
        <f t="shared" si="56"/>
        <v>60</v>
      </c>
      <c r="AN167">
        <f t="shared" si="57"/>
        <v>50</v>
      </c>
      <c r="AO167">
        <f t="shared" si="58"/>
        <v>50</v>
      </c>
      <c r="AP167" s="15">
        <f t="shared" si="59"/>
        <v>25</v>
      </c>
      <c r="AQ167" s="15">
        <f t="shared" si="60"/>
        <v>25</v>
      </c>
      <c r="AR167" s="15">
        <f t="shared" si="61"/>
        <v>0</v>
      </c>
      <c r="AS167" s="15">
        <f t="shared" si="62"/>
        <v>0</v>
      </c>
      <c r="AT167">
        <f t="shared" si="63"/>
        <v>50</v>
      </c>
      <c r="AU167" s="15">
        <f t="shared" si="64"/>
        <v>60</v>
      </c>
      <c r="AV167" s="15">
        <f t="shared" si="65"/>
        <v>80</v>
      </c>
      <c r="AW167">
        <f t="shared" si="66"/>
        <v>40</v>
      </c>
      <c r="AX167">
        <f t="shared" si="67"/>
        <v>75</v>
      </c>
      <c r="BB167" s="14">
        <f t="shared" si="68"/>
        <v>41.146089387499998</v>
      </c>
      <c r="BC167" s="14">
        <f t="shared" si="69"/>
        <v>33.0259357005</v>
      </c>
      <c r="BE167" s="14">
        <f t="shared" si="70"/>
        <v>39.582190037999993</v>
      </c>
      <c r="BF167" s="14">
        <f t="shared" si="71"/>
        <v>40.320323416999997</v>
      </c>
      <c r="BH167" t="str">
        <f t="shared" si="72"/>
        <v>85</v>
      </c>
      <c r="BI167">
        <f t="shared" si="73"/>
        <v>0</v>
      </c>
      <c r="BJ167">
        <f t="shared" si="74"/>
        <v>50</v>
      </c>
      <c r="BK167" s="15">
        <f t="shared" si="75"/>
        <v>50</v>
      </c>
      <c r="BL167" s="15">
        <f t="shared" si="76"/>
        <v>50</v>
      </c>
      <c r="BM167" s="15">
        <f t="shared" si="77"/>
        <v>25</v>
      </c>
      <c r="BN167" s="15">
        <f t="shared" si="78"/>
        <v>25</v>
      </c>
      <c r="BO167">
        <f t="shared" si="79"/>
        <v>50</v>
      </c>
      <c r="BP167" s="15">
        <f t="shared" si="80"/>
        <v>60</v>
      </c>
      <c r="BQ167" s="15">
        <f t="shared" si="81"/>
        <v>60</v>
      </c>
      <c r="BR167">
        <f t="shared" si="82"/>
        <v>60</v>
      </c>
      <c r="BS167">
        <f t="shared" si="83"/>
        <v>75</v>
      </c>
    </row>
    <row r="168" spans="1:71" x14ac:dyDescent="0.25">
      <c r="A168">
        <v>167</v>
      </c>
      <c r="B168" t="s">
        <v>513</v>
      </c>
      <c r="C168" t="s">
        <v>111</v>
      </c>
      <c r="D168" s="1" t="d">
        <v>2019-12-23T12:34:56.00000025238841625</v>
      </c>
      <c r="E168" s="1" t="d">
        <v>2019-12-23T17:06:16.99999969918281075</v>
      </c>
      <c r="F168" t="s">
        <v>514</v>
      </c>
      <c r="G168">
        <v>3</v>
      </c>
      <c r="H168">
        <v>2</v>
      </c>
      <c r="I168">
        <v>3</v>
      </c>
      <c r="J168">
        <v>3</v>
      </c>
      <c r="K168">
        <v>4</v>
      </c>
      <c r="L168">
        <v>3</v>
      </c>
      <c r="M168">
        <v>3</v>
      </c>
      <c r="N168">
        <v>4</v>
      </c>
      <c r="O168">
        <v>2</v>
      </c>
      <c r="P168">
        <v>2</v>
      </c>
      <c r="Q168">
        <v>4</v>
      </c>
      <c r="R168">
        <v>3</v>
      </c>
      <c r="S168">
        <v>2</v>
      </c>
      <c r="T168">
        <v>3</v>
      </c>
      <c r="U168" s="1" t="d">
        <v>2020-04-22T12:05:02.00000018812715925</v>
      </c>
      <c r="V168" s="1" t="d">
        <v>2020-04-22T12:41:31.00000017788261475</v>
      </c>
      <c r="W168" t="s">
        <v>515</v>
      </c>
      <c r="X168">
        <v>2</v>
      </c>
      <c r="Y168">
        <v>3</v>
      </c>
      <c r="Z168">
        <v>2</v>
      </c>
      <c r="AA168">
        <v>4</v>
      </c>
      <c r="AB168">
        <v>4</v>
      </c>
      <c r="AC168">
        <v>3</v>
      </c>
      <c r="AD168">
        <v>3</v>
      </c>
      <c r="AE168">
        <v>4</v>
      </c>
      <c r="AF168">
        <v>3</v>
      </c>
      <c r="AG168">
        <v>2</v>
      </c>
      <c r="AH168">
        <v>4</v>
      </c>
      <c r="AI168">
        <v>4</v>
      </c>
      <c r="AJ168">
        <v>2</v>
      </c>
      <c r="AK168">
        <v>2</v>
      </c>
      <c r="AM168" t="str">
        <f t="shared" si="56"/>
        <v>60</v>
      </c>
      <c r="AN168">
        <f t="shared" si="57"/>
        <v>50</v>
      </c>
      <c r="AO168">
        <f t="shared" si="58"/>
        <v>100</v>
      </c>
      <c r="AP168" s="15">
        <f t="shared" si="59"/>
        <v>50</v>
      </c>
      <c r="AQ168" s="15">
        <f t="shared" si="60"/>
        <v>25</v>
      </c>
      <c r="AR168" s="15">
        <f t="shared" si="61"/>
        <v>50</v>
      </c>
      <c r="AS168" s="15">
        <f t="shared" si="62"/>
        <v>50</v>
      </c>
      <c r="AT168">
        <f t="shared" si="63"/>
        <v>25</v>
      </c>
      <c r="AU168" s="15">
        <f t="shared" si="64"/>
        <v>80</v>
      </c>
      <c r="AV168" s="15">
        <f t="shared" si="65"/>
        <v>80</v>
      </c>
      <c r="AW168">
        <f t="shared" si="66"/>
        <v>60</v>
      </c>
      <c r="AX168">
        <f t="shared" si="67"/>
        <v>50</v>
      </c>
      <c r="BB168" s="14">
        <f t="shared" si="68"/>
        <v>36.806881759999996</v>
      </c>
      <c r="BC168" s="14">
        <f t="shared" si="69"/>
        <v>44.266360085000002</v>
      </c>
      <c r="BE168" s="14">
        <f t="shared" si="70"/>
        <v>37.445618490000001</v>
      </c>
      <c r="BF168" s="14">
        <f t="shared" si="71"/>
        <v>45.202889971499992</v>
      </c>
      <c r="BH168" t="str">
        <f t="shared" si="72"/>
        <v>85</v>
      </c>
      <c r="BI168">
        <f t="shared" si="73"/>
        <v>100</v>
      </c>
      <c r="BJ168">
        <f t="shared" si="74"/>
        <v>50</v>
      </c>
      <c r="BK168" s="15">
        <f t="shared" si="75"/>
        <v>25</v>
      </c>
      <c r="BL168" s="15">
        <f t="shared" si="76"/>
        <v>25</v>
      </c>
      <c r="BM168" s="15">
        <f t="shared" si="77"/>
        <v>50</v>
      </c>
      <c r="BN168" s="15">
        <f t="shared" si="78"/>
        <v>50</v>
      </c>
      <c r="BO168">
        <f t="shared" si="79"/>
        <v>25</v>
      </c>
      <c r="BP168" s="15">
        <f t="shared" si="80"/>
        <v>60</v>
      </c>
      <c r="BQ168" s="15">
        <f t="shared" si="81"/>
        <v>80</v>
      </c>
      <c r="BR168">
        <f t="shared" si="82"/>
        <v>60</v>
      </c>
      <c r="BS168">
        <f t="shared" si="83"/>
        <v>75</v>
      </c>
    </row>
    <row r="169" spans="1:71" x14ac:dyDescent="0.25">
      <c r="A169">
        <v>168</v>
      </c>
      <c r="B169" t="s">
        <v>516</v>
      </c>
      <c r="C169" t="s">
        <v>111</v>
      </c>
      <c r="D169" s="1" t="d">
        <v>2020-01-14T08:31:52.99999980255961725</v>
      </c>
      <c r="E169" s="1" t="d">
        <v>2020-01-14T09:05:58.00000007729977125</v>
      </c>
      <c r="F169" t="s">
        <v>517</v>
      </c>
      <c r="G169">
        <v>4</v>
      </c>
      <c r="H169">
        <v>2</v>
      </c>
      <c r="I169">
        <v>2</v>
      </c>
      <c r="J169">
        <v>2</v>
      </c>
      <c r="K169">
        <v>1</v>
      </c>
      <c r="L169">
        <v>3</v>
      </c>
      <c r="M169">
        <v>4</v>
      </c>
      <c r="N169">
        <v>2</v>
      </c>
      <c r="O169">
        <v>2</v>
      </c>
      <c r="P169">
        <v>3</v>
      </c>
      <c r="Q169">
        <v>3</v>
      </c>
      <c r="R169">
        <v>4</v>
      </c>
      <c r="S169">
        <v>3</v>
      </c>
      <c r="T169">
        <v>3</v>
      </c>
      <c r="U169" s="1" t="d">
        <v>2020-05-20T05:15:09.999999823048710975</v>
      </c>
      <c r="V169" s="1" t="d">
        <v>2020-05-20T05:55:16.99999985285103225</v>
      </c>
      <c r="W169" t="s">
        <v>518</v>
      </c>
      <c r="X169">
        <v>3</v>
      </c>
      <c r="Y169">
        <v>2</v>
      </c>
      <c r="Z169">
        <v>2</v>
      </c>
      <c r="AA169">
        <v>2</v>
      </c>
      <c r="AB169">
        <v>2</v>
      </c>
      <c r="AC169">
        <v>3</v>
      </c>
      <c r="AD169">
        <v>4</v>
      </c>
      <c r="AE169">
        <v>3</v>
      </c>
      <c r="AF169">
        <v>2</v>
      </c>
      <c r="AG169">
        <v>1</v>
      </c>
      <c r="AH169">
        <v>4</v>
      </c>
      <c r="AI169">
        <v>4</v>
      </c>
      <c r="AJ169">
        <v>4</v>
      </c>
      <c r="AK169">
        <v>3</v>
      </c>
      <c r="AM169" t="str">
        <f t="shared" si="56"/>
        <v>35</v>
      </c>
      <c r="AN169">
        <f t="shared" si="57"/>
        <v>50</v>
      </c>
      <c r="AO169">
        <f t="shared" si="58"/>
        <v>50</v>
      </c>
      <c r="AP169" s="15">
        <f t="shared" si="59"/>
        <v>75</v>
      </c>
      <c r="AQ169" s="15">
        <f t="shared" si="60"/>
        <v>100</v>
      </c>
      <c r="AR169" s="15">
        <f t="shared" si="61"/>
        <v>50</v>
      </c>
      <c r="AS169" s="15">
        <f t="shared" si="62"/>
        <v>25</v>
      </c>
      <c r="AT169">
        <f t="shared" si="63"/>
        <v>75</v>
      </c>
      <c r="AU169" s="15">
        <f t="shared" si="64"/>
        <v>80</v>
      </c>
      <c r="AV169" s="15">
        <f t="shared" si="65"/>
        <v>60</v>
      </c>
      <c r="AW169">
        <f t="shared" si="66"/>
        <v>40</v>
      </c>
      <c r="AX169">
        <f t="shared" si="67"/>
        <v>75</v>
      </c>
      <c r="BB169" s="14">
        <f t="shared" si="68"/>
        <v>46.551351513</v>
      </c>
      <c r="BC169" s="14">
        <f t="shared" si="69"/>
        <v>38.487698486999996</v>
      </c>
      <c r="BE169" s="14">
        <f t="shared" si="70"/>
        <v>43.4359451845</v>
      </c>
      <c r="BF169" s="14">
        <f t="shared" si="71"/>
        <v>45.455053556999992</v>
      </c>
      <c r="BH169" t="str">
        <f t="shared" si="72"/>
        <v>60</v>
      </c>
      <c r="BI169">
        <f t="shared" si="73"/>
        <v>50</v>
      </c>
      <c r="BJ169">
        <f t="shared" si="74"/>
        <v>50</v>
      </c>
      <c r="BK169" s="15">
        <f t="shared" si="75"/>
        <v>75</v>
      </c>
      <c r="BL169" s="15">
        <f t="shared" si="76"/>
        <v>75</v>
      </c>
      <c r="BM169" s="15">
        <f t="shared" si="77"/>
        <v>50</v>
      </c>
      <c r="BN169" s="15">
        <f t="shared" si="78"/>
        <v>25</v>
      </c>
      <c r="BO169">
        <f t="shared" si="79"/>
        <v>50</v>
      </c>
      <c r="BP169" s="15">
        <f t="shared" si="80"/>
        <v>80</v>
      </c>
      <c r="BQ169" s="15">
        <f t="shared" si="81"/>
        <v>100</v>
      </c>
      <c r="BR169">
        <f t="shared" si="82"/>
        <v>60</v>
      </c>
      <c r="BS169">
        <f t="shared" si="83"/>
        <v>75</v>
      </c>
    </row>
  </sheetData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4F50-6C8A-418C-813D-77136A246821}">
  <dimension ref="A1:J41"/>
  <sheetViews>
    <sheetView workbookViewId="0">
      <selection activeCell="A40" sqref="A40:XFD41"/>
    </sheetView>
  </sheetViews>
  <sheetFormatPr defaultRowHeight="15.75" x14ac:dyDescent="0.25"/>
  <cols>
    <col min="4" max="4" width="22.375" customWidth="1"/>
    <col min="5" max="5" width="23.75" customWidth="1"/>
    <col min="7" max="7" width="128.125" customWidth="1"/>
    <col min="9" max="9" width="55.25" customWidth="1"/>
    <col min="10" max="10" width="58.75" style="3" customWidth="1"/>
  </cols>
  <sheetData>
    <row r="1" spans="1:8" x14ac:dyDescent="0.25">
      <c r="A1" s="5">
        <v>656</v>
      </c>
      <c r="B1" s="5"/>
      <c r="C1" s="5" t="s">
        <v>519</v>
      </c>
      <c r="D1" s="7" t="s">
        <v>520</v>
      </c>
      <c r="E1" s="5" t="s">
        <v>521</v>
      </c>
      <c r="F1" s="5" t="s">
        <v>522</v>
      </c>
      <c r="G1" s="6" t="s">
        <v>523</v>
      </c>
      <c r="H1" s="6" t="s">
        <v>574</v>
      </c>
    </row>
    <row r="2" spans="1:8" x14ac:dyDescent="0.25">
      <c r="A2" s="5">
        <v>657</v>
      </c>
      <c r="B2" s="5"/>
      <c r="C2" s="5" t="s">
        <v>519</v>
      </c>
      <c r="D2" s="7" t="s">
        <v>524</v>
      </c>
      <c r="E2" s="5" t="s">
        <v>521</v>
      </c>
      <c r="F2" s="5" t="s">
        <v>522</v>
      </c>
      <c r="G2" s="6" t="s">
        <v>525</v>
      </c>
      <c r="H2" s="6" t="s">
        <v>574</v>
      </c>
    </row>
    <row r="3" spans="1:8" x14ac:dyDescent="0.25">
      <c r="A3" s="5">
        <v>658</v>
      </c>
      <c r="B3" s="5"/>
      <c r="C3" s="5" t="s">
        <v>519</v>
      </c>
      <c r="D3" s="7" t="s">
        <v>526</v>
      </c>
      <c r="E3" s="5" t="s">
        <v>521</v>
      </c>
      <c r="F3" s="5" t="s">
        <v>522</v>
      </c>
      <c r="G3" s="6" t="s">
        <v>527</v>
      </c>
      <c r="H3" s="6" t="s">
        <v>574</v>
      </c>
    </row>
    <row r="4" spans="1:8" x14ac:dyDescent="0.25">
      <c r="A4" s="5">
        <v>659</v>
      </c>
      <c r="B4" s="5"/>
      <c r="C4" s="5" t="s">
        <v>519</v>
      </c>
      <c r="D4" s="7" t="s">
        <v>528</v>
      </c>
      <c r="E4" s="5" t="s">
        <v>521</v>
      </c>
      <c r="F4" s="5" t="s">
        <v>522</v>
      </c>
      <c r="G4" s="6" t="s">
        <v>529</v>
      </c>
      <c r="H4" s="6" t="s">
        <v>574</v>
      </c>
    </row>
    <row r="5" spans="1:8" x14ac:dyDescent="0.25">
      <c r="A5" s="5">
        <v>660</v>
      </c>
      <c r="B5" s="5"/>
      <c r="C5" s="5" t="s">
        <v>519</v>
      </c>
      <c r="D5" s="7" t="s">
        <v>530</v>
      </c>
      <c r="E5" s="5" t="s">
        <v>521</v>
      </c>
      <c r="F5" s="5" t="s">
        <v>522</v>
      </c>
      <c r="G5" s="6" t="s">
        <v>531</v>
      </c>
      <c r="H5" s="6" t="s">
        <v>578</v>
      </c>
    </row>
    <row r="6" spans="1:8" x14ac:dyDescent="0.25">
      <c r="A6" s="5">
        <v>661</v>
      </c>
      <c r="B6" s="5"/>
      <c r="C6" s="5" t="s">
        <v>519</v>
      </c>
      <c r="D6" s="7" t="s">
        <v>532</v>
      </c>
      <c r="E6" s="5" t="s">
        <v>521</v>
      </c>
      <c r="F6" s="5" t="s">
        <v>522</v>
      </c>
      <c r="G6" s="6" t="s">
        <v>533</v>
      </c>
      <c r="H6" s="6" t="s">
        <v>578</v>
      </c>
    </row>
    <row r="7" spans="1:8" x14ac:dyDescent="0.25">
      <c r="A7" s="5">
        <v>662</v>
      </c>
      <c r="B7" s="5"/>
      <c r="C7" s="5" t="s">
        <v>519</v>
      </c>
      <c r="D7" s="7" t="s">
        <v>534</v>
      </c>
      <c r="E7" s="5" t="s">
        <v>521</v>
      </c>
      <c r="F7" s="5" t="s">
        <v>522</v>
      </c>
      <c r="G7" s="6" t="s">
        <v>535</v>
      </c>
      <c r="H7" s="6" t="s">
        <v>609</v>
      </c>
    </row>
    <row r="8" spans="1:8" x14ac:dyDescent="0.25">
      <c r="A8" s="5">
        <v>663</v>
      </c>
      <c r="B8" s="5"/>
      <c r="C8" s="5" t="s">
        <v>519</v>
      </c>
      <c r="D8" s="7" t="s">
        <v>536</v>
      </c>
      <c r="E8" s="5" t="s">
        <v>521</v>
      </c>
      <c r="F8" s="5" t="s">
        <v>522</v>
      </c>
      <c r="G8" s="6" t="s">
        <v>537</v>
      </c>
      <c r="H8" s="6" t="s">
        <v>609</v>
      </c>
    </row>
    <row r="9" spans="1:8" x14ac:dyDescent="0.25">
      <c r="A9" s="5">
        <v>664</v>
      </c>
      <c r="B9" s="5"/>
      <c r="C9" s="5" t="s">
        <v>519</v>
      </c>
      <c r="D9" s="7" t="s">
        <v>538</v>
      </c>
      <c r="E9" s="5" t="s">
        <v>521</v>
      </c>
      <c r="F9" s="5" t="s">
        <v>522</v>
      </c>
      <c r="G9" s="6" t="s">
        <v>539</v>
      </c>
      <c r="H9" s="6" t="s">
        <v>609</v>
      </c>
    </row>
    <row r="10" spans="1:8" x14ac:dyDescent="0.25">
      <c r="A10" s="5">
        <v>665</v>
      </c>
      <c r="B10" s="5"/>
      <c r="C10" s="5" t="s">
        <v>519</v>
      </c>
      <c r="D10" s="7" t="s">
        <v>540</v>
      </c>
      <c r="E10" s="5" t="s">
        <v>521</v>
      </c>
      <c r="F10" s="5" t="s">
        <v>522</v>
      </c>
      <c r="G10" s="6" t="s">
        <v>541</v>
      </c>
      <c r="H10" s="6" t="s">
        <v>610</v>
      </c>
    </row>
    <row r="11" spans="1:8" x14ac:dyDescent="0.25">
      <c r="A11" s="5">
        <v>666</v>
      </c>
      <c r="B11" s="5"/>
      <c r="C11" s="5" t="s">
        <v>519</v>
      </c>
      <c r="D11" s="7" t="s">
        <v>542</v>
      </c>
      <c r="E11" s="5" t="s">
        <v>521</v>
      </c>
      <c r="F11" s="5" t="s">
        <v>522</v>
      </c>
      <c r="G11" s="6" t="s">
        <v>543</v>
      </c>
      <c r="H11" s="6" t="s">
        <v>611</v>
      </c>
    </row>
    <row r="12" spans="1:8" x14ac:dyDescent="0.25">
      <c r="A12" s="5">
        <v>667</v>
      </c>
      <c r="B12" s="5"/>
      <c r="C12" s="5" t="s">
        <v>519</v>
      </c>
      <c r="D12" s="7" t="s">
        <v>544</v>
      </c>
      <c r="E12" s="5" t="s">
        <v>521</v>
      </c>
      <c r="F12" s="5" t="s">
        <v>522</v>
      </c>
      <c r="G12" s="6" t="s">
        <v>545</v>
      </c>
      <c r="H12" s="6" t="s">
        <v>611</v>
      </c>
    </row>
    <row r="13" spans="1:8" x14ac:dyDescent="0.25">
      <c r="A13" s="5">
        <v>668</v>
      </c>
      <c r="B13" s="5"/>
      <c r="C13" s="5" t="s">
        <v>519</v>
      </c>
      <c r="D13" s="7" t="s">
        <v>546</v>
      </c>
      <c r="E13" s="5" t="s">
        <v>521</v>
      </c>
      <c r="F13" s="5" t="s">
        <v>522</v>
      </c>
      <c r="G13" s="6" t="s">
        <v>547</v>
      </c>
      <c r="H13" s="6" t="s">
        <v>612</v>
      </c>
    </row>
    <row r="14" spans="1:8" x14ac:dyDescent="0.25">
      <c r="A14" s="5">
        <v>669</v>
      </c>
      <c r="B14" s="5"/>
      <c r="C14" s="5" t="s">
        <v>519</v>
      </c>
      <c r="D14" s="7" t="s">
        <v>548</v>
      </c>
      <c r="E14" s="5" t="s">
        <v>521</v>
      </c>
      <c r="F14" s="5" t="s">
        <v>522</v>
      </c>
      <c r="G14" s="6" t="s">
        <v>549</v>
      </c>
      <c r="H14" s="6" t="s">
        <v>612</v>
      </c>
    </row>
    <row r="15" spans="1:8" x14ac:dyDescent="0.25">
      <c r="A15" s="5">
        <v>670</v>
      </c>
      <c r="B15" s="5"/>
      <c r="C15" s="5" t="s">
        <v>519</v>
      </c>
      <c r="D15" s="7" t="s">
        <v>550</v>
      </c>
      <c r="E15" s="5" t="s">
        <v>521</v>
      </c>
      <c r="F15" s="5" t="s">
        <v>522</v>
      </c>
      <c r="G15" s="6" t="s">
        <v>551</v>
      </c>
      <c r="H15" s="6" t="s">
        <v>612</v>
      </c>
    </row>
    <row r="16" spans="1:8" x14ac:dyDescent="0.25">
      <c r="A16" s="5">
        <v>671</v>
      </c>
      <c r="B16" s="5"/>
      <c r="C16" s="5" t="s">
        <v>519</v>
      </c>
      <c r="D16" s="7" t="s">
        <v>552</v>
      </c>
      <c r="E16" s="5" t="s">
        <v>521</v>
      </c>
      <c r="F16" s="5" t="s">
        <v>522</v>
      </c>
      <c r="G16" s="6" t="s">
        <v>553</v>
      </c>
      <c r="H16" s="6" t="s">
        <v>612</v>
      </c>
    </row>
    <row r="17" spans="1:10" x14ac:dyDescent="0.25">
      <c r="A17" s="5">
        <v>672</v>
      </c>
      <c r="B17" s="5"/>
      <c r="C17" s="5" t="s">
        <v>519</v>
      </c>
      <c r="D17" s="7" t="s">
        <v>554</v>
      </c>
      <c r="E17" s="5" t="s">
        <v>521</v>
      </c>
      <c r="F17" s="5" t="s">
        <v>522</v>
      </c>
      <c r="G17" s="6" t="s">
        <v>555</v>
      </c>
      <c r="H17" s="6" t="s">
        <v>612</v>
      </c>
      <c r="I17" s="5"/>
      <c r="J17" s="4"/>
    </row>
    <row r="18" spans="1:10" x14ac:dyDescent="0.25">
      <c r="A18" s="5">
        <v>673</v>
      </c>
      <c r="B18" s="5"/>
      <c r="C18" s="5" t="s">
        <v>519</v>
      </c>
      <c r="D18" s="7" t="s">
        <v>556</v>
      </c>
      <c r="E18" s="5" t="s">
        <v>521</v>
      </c>
      <c r="F18" s="5" t="s">
        <v>522</v>
      </c>
      <c r="G18" s="6" t="s">
        <v>557</v>
      </c>
      <c r="H18" s="6" t="s">
        <v>613</v>
      </c>
      <c r="I18" s="5"/>
      <c r="J18" s="9"/>
    </row>
    <row r="19" spans="1:10" x14ac:dyDescent="0.25">
      <c r="A19" s="5">
        <v>674</v>
      </c>
      <c r="B19" s="5"/>
      <c r="C19" s="5" t="s">
        <v>519</v>
      </c>
      <c r="D19" s="7" t="s">
        <v>558</v>
      </c>
      <c r="E19" s="5" t="s">
        <v>521</v>
      </c>
      <c r="F19" s="5" t="s">
        <v>522</v>
      </c>
      <c r="G19" s="6" t="s">
        <v>559</v>
      </c>
      <c r="H19" s="6" t="s">
        <v>613</v>
      </c>
      <c r="I19" s="5"/>
      <c r="J19" s="9"/>
    </row>
    <row r="20" spans="1:10" x14ac:dyDescent="0.25">
      <c r="A20" s="5">
        <v>675</v>
      </c>
      <c r="B20" s="5"/>
      <c r="C20" s="5" t="s">
        <v>519</v>
      </c>
      <c r="D20" s="7" t="s">
        <v>560</v>
      </c>
      <c r="E20" s="5" t="s">
        <v>521</v>
      </c>
      <c r="F20" s="5" t="s">
        <v>522</v>
      </c>
      <c r="G20" s="6" t="s">
        <v>561</v>
      </c>
      <c r="H20" s="6" t="s">
        <v>613</v>
      </c>
      <c r="I20" s="5"/>
      <c r="J20" s="9"/>
    </row>
    <row r="21" spans="1:10" x14ac:dyDescent="0.25">
      <c r="A21" s="5">
        <v>676</v>
      </c>
      <c r="B21" s="5"/>
      <c r="C21" s="5" t="s">
        <v>519</v>
      </c>
      <c r="D21" s="7" t="s">
        <v>562</v>
      </c>
      <c r="E21" s="5" t="s">
        <v>521</v>
      </c>
      <c r="F21" s="5" t="s">
        <v>522</v>
      </c>
      <c r="G21" s="6" t="s">
        <v>563</v>
      </c>
      <c r="H21" s="6" t="s">
        <v>612</v>
      </c>
      <c r="I21" s="5"/>
      <c r="J21" s="4"/>
    </row>
    <row r="22" spans="1:10" x14ac:dyDescent="0.25">
      <c r="A22" s="5">
        <v>677</v>
      </c>
      <c r="B22" s="5"/>
      <c r="C22" s="5" t="s">
        <v>519</v>
      </c>
      <c r="D22" s="8" t="s">
        <v>564</v>
      </c>
      <c r="E22" s="5" t="s">
        <v>565</v>
      </c>
      <c r="F22" s="5" t="s">
        <v>522</v>
      </c>
      <c r="G22" s="6" t="s">
        <v>566</v>
      </c>
      <c r="H22" s="6" t="s">
        <v>614</v>
      </c>
      <c r="I22" s="5"/>
      <c r="J22" s="4" t="s">
        <v>615</v>
      </c>
    </row>
    <row r="23" spans="1:10" x14ac:dyDescent="0.25">
      <c r="A23" s="5">
        <v>678</v>
      </c>
      <c r="B23" s="5"/>
      <c r="C23" s="5" t="s">
        <v>519</v>
      </c>
      <c r="D23" s="8" t="s">
        <v>567</v>
      </c>
      <c r="E23" s="5" t="s">
        <v>565</v>
      </c>
      <c r="F23" s="5" t="s">
        <v>522</v>
      </c>
      <c r="G23" s="6" t="s">
        <v>568</v>
      </c>
      <c r="H23" s="6" t="s">
        <v>614</v>
      </c>
      <c r="I23" s="5"/>
      <c r="J23" s="4" t="s">
        <v>615</v>
      </c>
    </row>
    <row r="24" spans="1:10" x14ac:dyDescent="0.25">
      <c r="A24" s="5">
        <v>679</v>
      </c>
      <c r="B24" s="5"/>
      <c r="C24" s="5" t="s">
        <v>519</v>
      </c>
      <c r="D24" s="7" t="s">
        <v>569</v>
      </c>
      <c r="E24" s="5" t="s">
        <v>565</v>
      </c>
      <c r="F24" s="5" t="s">
        <v>522</v>
      </c>
      <c r="G24" s="6" t="s">
        <v>570</v>
      </c>
      <c r="H24" s="6" t="s">
        <v>616</v>
      </c>
      <c r="I24" s="5"/>
      <c r="J24" s="4"/>
    </row>
    <row r="28" spans="1:10" x14ac:dyDescent="0.25">
      <c r="A28">
        <v>1119</v>
      </c>
      <c r="C28" t="s">
        <v>519</v>
      </c>
      <c r="D28" t="s">
        <v>23</v>
      </c>
      <c r="E28" t="s">
        <v>571</v>
      </c>
      <c r="F28" t="s">
        <v>572</v>
      </c>
      <c r="G28" t="s">
        <v>573</v>
      </c>
      <c r="H28" s="10" t="s">
        <v>574</v>
      </c>
      <c r="I28" t="s">
        <v>575</v>
      </c>
      <c r="J28" s="3" t="s">
        <v>576</v>
      </c>
    </row>
    <row r="29" spans="1:10" x14ac:dyDescent="0.25">
      <c r="A29">
        <v>1120</v>
      </c>
      <c r="C29" t="s">
        <v>519</v>
      </c>
      <c r="D29" t="s">
        <v>24</v>
      </c>
      <c r="E29" t="s">
        <v>571</v>
      </c>
      <c r="F29" t="s">
        <v>572</v>
      </c>
      <c r="G29" t="s">
        <v>577</v>
      </c>
      <c r="H29" s="10" t="s">
        <v>578</v>
      </c>
      <c r="I29" t="s">
        <v>579</v>
      </c>
      <c r="J29" s="3" t="s">
        <v>580</v>
      </c>
    </row>
    <row r="30" spans="1:10" x14ac:dyDescent="0.25">
      <c r="A30">
        <v>1121</v>
      </c>
      <c r="C30" t="s">
        <v>519</v>
      </c>
      <c r="D30" t="s">
        <v>25</v>
      </c>
      <c r="E30" t="s">
        <v>571</v>
      </c>
      <c r="F30" t="s">
        <v>572</v>
      </c>
      <c r="G30" t="s">
        <v>581</v>
      </c>
      <c r="H30" s="10" t="s">
        <v>578</v>
      </c>
      <c r="I30" t="s">
        <v>579</v>
      </c>
      <c r="J30" s="3" t="s">
        <v>582</v>
      </c>
    </row>
    <row r="31" spans="1:10" x14ac:dyDescent="0.25">
      <c r="A31">
        <v>1122</v>
      </c>
      <c r="C31" t="s">
        <v>519</v>
      </c>
      <c r="D31" t="s">
        <v>26</v>
      </c>
      <c r="E31" t="s">
        <v>571</v>
      </c>
      <c r="F31" t="s">
        <v>572</v>
      </c>
      <c r="G31" t="s">
        <v>583</v>
      </c>
      <c r="H31" s="10" t="s">
        <v>574</v>
      </c>
      <c r="I31" t="s">
        <v>584</v>
      </c>
      <c r="J31" s="3" t="s">
        <v>585</v>
      </c>
    </row>
    <row r="32" spans="1:10" x14ac:dyDescent="0.25">
      <c r="A32">
        <v>1123</v>
      </c>
      <c r="C32" t="s">
        <v>519</v>
      </c>
      <c r="D32" t="s">
        <v>27</v>
      </c>
      <c r="E32" t="s">
        <v>571</v>
      </c>
      <c r="F32" t="s">
        <v>572</v>
      </c>
      <c r="G32" t="s">
        <v>586</v>
      </c>
      <c r="H32" s="10" t="s">
        <v>574</v>
      </c>
      <c r="I32" t="s">
        <v>584</v>
      </c>
      <c r="J32" s="3" t="s">
        <v>587</v>
      </c>
    </row>
    <row r="33" spans="1:10" x14ac:dyDescent="0.25">
      <c r="A33">
        <v>1124</v>
      </c>
      <c r="C33" t="s">
        <v>519</v>
      </c>
      <c r="D33" t="s">
        <v>28</v>
      </c>
      <c r="E33" t="s">
        <v>571</v>
      </c>
      <c r="F33" t="s">
        <v>572</v>
      </c>
      <c r="G33" t="s">
        <v>588</v>
      </c>
      <c r="H33" s="10" t="s">
        <v>574</v>
      </c>
      <c r="I33" t="s">
        <v>584</v>
      </c>
      <c r="J33" s="3" t="s">
        <v>589</v>
      </c>
    </row>
    <row r="34" spans="1:10" x14ac:dyDescent="0.25">
      <c r="A34">
        <v>1125</v>
      </c>
      <c r="C34" t="s">
        <v>519</v>
      </c>
      <c r="D34" t="s">
        <v>29</v>
      </c>
      <c r="E34" t="s">
        <v>571</v>
      </c>
      <c r="F34" t="s">
        <v>572</v>
      </c>
      <c r="G34" t="s">
        <v>590</v>
      </c>
      <c r="H34" s="10" t="s">
        <v>574</v>
      </c>
      <c r="I34" t="s">
        <v>584</v>
      </c>
      <c r="J34" s="3" t="s">
        <v>591</v>
      </c>
    </row>
    <row r="35" spans="1:10" x14ac:dyDescent="0.25">
      <c r="A35">
        <v>1126</v>
      </c>
      <c r="C35" t="s">
        <v>519</v>
      </c>
      <c r="D35" t="s">
        <v>30</v>
      </c>
      <c r="E35" t="s">
        <v>571</v>
      </c>
      <c r="F35" t="s">
        <v>572</v>
      </c>
      <c r="G35" t="s">
        <v>592</v>
      </c>
      <c r="H35" s="10" t="s">
        <v>574</v>
      </c>
      <c r="I35" t="s">
        <v>593</v>
      </c>
      <c r="J35" s="3" t="s">
        <v>594</v>
      </c>
    </row>
    <row r="36" spans="1:10" x14ac:dyDescent="0.25">
      <c r="A36">
        <v>1127</v>
      </c>
      <c r="C36" t="s">
        <v>519</v>
      </c>
      <c r="D36" t="s">
        <v>31</v>
      </c>
      <c r="E36" t="s">
        <v>571</v>
      </c>
      <c r="F36" t="s">
        <v>572</v>
      </c>
      <c r="G36" t="s">
        <v>595</v>
      </c>
      <c r="H36" s="10" t="s">
        <v>596</v>
      </c>
      <c r="I36" s="2" t="s">
        <v>597</v>
      </c>
      <c r="J36" s="11" t="s">
        <v>598</v>
      </c>
    </row>
    <row r="37" spans="1:10" x14ac:dyDescent="0.25">
      <c r="A37">
        <v>1128</v>
      </c>
      <c r="C37" t="s">
        <v>519</v>
      </c>
      <c r="D37" t="s">
        <v>32</v>
      </c>
      <c r="E37" t="s">
        <v>571</v>
      </c>
      <c r="F37" t="s">
        <v>572</v>
      </c>
      <c r="G37" t="s">
        <v>599</v>
      </c>
      <c r="H37" s="10" t="s">
        <v>596</v>
      </c>
      <c r="I37" s="2" t="s">
        <v>597</v>
      </c>
      <c r="J37" s="11" t="s">
        <v>600</v>
      </c>
    </row>
    <row r="38" spans="1:10" x14ac:dyDescent="0.25">
      <c r="A38">
        <v>1129</v>
      </c>
      <c r="C38" t="s">
        <v>519</v>
      </c>
      <c r="D38" t="s">
        <v>33</v>
      </c>
      <c r="E38" t="s">
        <v>571</v>
      </c>
      <c r="F38" t="s">
        <v>572</v>
      </c>
      <c r="G38" t="s">
        <v>601</v>
      </c>
      <c r="H38" s="10" t="s">
        <v>596</v>
      </c>
      <c r="I38" s="2" t="s">
        <v>597</v>
      </c>
      <c r="J38" s="11" t="s">
        <v>602</v>
      </c>
    </row>
    <row r="39" spans="1:10" x14ac:dyDescent="0.25">
      <c r="A39">
        <v>1130</v>
      </c>
      <c r="C39" t="s">
        <v>519</v>
      </c>
      <c r="D39" t="s">
        <v>34</v>
      </c>
      <c r="E39" t="s">
        <v>571</v>
      </c>
      <c r="F39" t="s">
        <v>572</v>
      </c>
      <c r="G39" t="s">
        <v>603</v>
      </c>
      <c r="H39" s="10" t="s">
        <v>574</v>
      </c>
      <c r="I39" t="s">
        <v>604</v>
      </c>
      <c r="J39" s="3" t="s">
        <v>605</v>
      </c>
    </row>
    <row r="40" spans="1:10" x14ac:dyDescent="0.25">
      <c r="A40">
        <v>1131</v>
      </c>
      <c r="C40" t="s">
        <v>519</v>
      </c>
      <c r="D40" t="s">
        <v>35</v>
      </c>
      <c r="E40" t="s">
        <v>571</v>
      </c>
      <c r="F40" t="s">
        <v>572</v>
      </c>
      <c r="G40" t="s">
        <v>606</v>
      </c>
      <c r="H40" s="10" t="s">
        <v>574</v>
      </c>
      <c r="I40" t="s">
        <v>607</v>
      </c>
    </row>
    <row r="41" spans="1:10" x14ac:dyDescent="0.25">
      <c r="A41">
        <v>1132</v>
      </c>
      <c r="C41" t="s">
        <v>519</v>
      </c>
      <c r="D41" t="s">
        <v>36</v>
      </c>
      <c r="E41" t="s">
        <v>571</v>
      </c>
      <c r="F41" t="s">
        <v>572</v>
      </c>
      <c r="G41" t="s">
        <v>608</v>
      </c>
      <c r="H41" s="10" t="s">
        <v>574</v>
      </c>
      <c r="I41" t="s">
        <v>607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finished</vt:lpstr>
      <vt:lpstr>Sheet3</vt:lpstr>
      <vt:lpstr>finished_recode</vt:lpstr>
      <vt:lpstr>qualtrics scoring codebook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Kristy vanMarle</dc:creator>
  <cp:keywords/>
  <dc:description/>
  <cp:lastModifiedBy>Kristy Lynn Vanmarle</cp:lastModifiedBy>
  <cp:revision/>
  <dcterms:created xsi:type="dcterms:W3CDTF">2024-10-02T17:27:18Z</dcterms:created>
  <dcterms:modified xsi:type="dcterms:W3CDTF">2024-10-14T21:46:17Z</dcterms:modified>
  <cp:category/>
  <cp:contentStatus/>
</cp:coreProperties>
</file>